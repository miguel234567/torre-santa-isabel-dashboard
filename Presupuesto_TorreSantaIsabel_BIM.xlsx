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MI PC\Documents\SANTA-ISABEL-DOS-QUEBRADAS\05_PROGRAMACION\05.2_Pagina_Web_Contro360°\"/>
    </mc:Choice>
  </mc:AlternateContent>
  <xr:revisionPtr revIDLastSave="0" documentId="13_ncr:1_{CDEC9E67-6A74-4640-9296-3FECA3100E3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ORTADA" sheetId="1" r:id="rId1"/>
    <sheet name="PROCESO DETALLADO" sheetId="6" r:id="rId2"/>
    <sheet name="EDT" sheetId="2" r:id="rId3"/>
    <sheet name="APU" sheetId="3" r:id="rId4"/>
    <sheet name="APU_F0" sheetId="11" r:id="rId5"/>
    <sheet name="APU_F1" sheetId="7" r:id="rId6"/>
    <sheet name="APU_F2" sheetId="8" r:id="rId7"/>
    <sheet name="APU_F3" sheetId="9" r:id="rId8"/>
    <sheet name="RESUMEN_APU" sheetId="10" r:id="rId9"/>
    <sheet name="OrdenesCambio" sheetId="4" r:id="rId10"/>
    <sheet name="Resumen" sheetId="5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G15" i="2"/>
  <c r="G14" i="2"/>
  <c r="G13" i="2"/>
  <c r="F13" i="2"/>
  <c r="G12" i="2"/>
  <c r="F12" i="2"/>
  <c r="F11" i="2"/>
  <c r="G11" i="2" s="1"/>
  <c r="F10" i="2"/>
  <c r="G10" i="2" s="1"/>
  <c r="G9" i="2"/>
  <c r="F9" i="2"/>
  <c r="G8" i="2"/>
  <c r="F8" i="2"/>
  <c r="G7" i="2"/>
  <c r="F7" i="2"/>
  <c r="G6" i="2"/>
  <c r="F6" i="2"/>
  <c r="F5" i="2"/>
  <c r="G5" i="2" s="1"/>
  <c r="G4" i="2" s="1"/>
  <c r="G28" i="11"/>
  <c r="G14" i="11" l="1"/>
  <c r="G12" i="11"/>
  <c r="G11" i="11"/>
  <c r="G10" i="11"/>
  <c r="L15" i="11"/>
  <c r="M15" i="11" s="1"/>
  <c r="M11" i="11" l="1"/>
  <c r="L12" i="11"/>
  <c r="J10" i="11"/>
  <c r="G13" i="11"/>
  <c r="G81" i="11" l="1"/>
  <c r="G80" i="11"/>
  <c r="G79" i="11"/>
  <c r="G78" i="11"/>
  <c r="G68" i="11"/>
  <c r="G67" i="11"/>
  <c r="G65" i="11"/>
  <c r="G64" i="11"/>
  <c r="G63" i="11"/>
  <c r="G62" i="11"/>
  <c r="G69" i="11" s="1"/>
  <c r="G55" i="11"/>
  <c r="G54" i="11"/>
  <c r="G45" i="11"/>
  <c r="G44" i="11"/>
  <c r="G43" i="11"/>
  <c r="G41" i="11"/>
  <c r="G40" i="11"/>
  <c r="G39" i="11"/>
  <c r="G38" i="11"/>
  <c r="G37" i="11"/>
  <c r="G36" i="11"/>
  <c r="G17" i="11"/>
  <c r="G16" i="11"/>
  <c r="F27" i="10"/>
  <c r="E26" i="10"/>
  <c r="F26" i="10" s="1"/>
  <c r="F25" i="10"/>
  <c r="E25" i="10"/>
  <c r="E24" i="10"/>
  <c r="F24" i="10" s="1"/>
  <c r="F23" i="10"/>
  <c r="E23" i="10"/>
  <c r="F20" i="10"/>
  <c r="F19" i="10"/>
  <c r="E19" i="10"/>
  <c r="F18" i="10"/>
  <c r="E18" i="10"/>
  <c r="F17" i="10"/>
  <c r="E17" i="10"/>
  <c r="F14" i="10"/>
  <c r="F13" i="10"/>
  <c r="E13" i="10"/>
  <c r="E12" i="10"/>
  <c r="F12" i="10" s="1"/>
  <c r="F11" i="10"/>
  <c r="E11" i="10"/>
  <c r="F72" i="9"/>
  <c r="F71" i="9"/>
  <c r="E71" i="9"/>
  <c r="F70" i="9"/>
  <c r="E70" i="9"/>
  <c r="F69" i="9"/>
  <c r="E69" i="9"/>
  <c r="F68" i="9"/>
  <c r="E68" i="9"/>
  <c r="G65" i="9"/>
  <c r="G64" i="9"/>
  <c r="G63" i="9"/>
  <c r="G62" i="9"/>
  <c r="G61" i="9"/>
  <c r="G60" i="9"/>
  <c r="G57" i="9"/>
  <c r="G56" i="9"/>
  <c r="G55" i="9"/>
  <c r="G54" i="9"/>
  <c r="G53" i="9"/>
  <c r="G52" i="9"/>
  <c r="G51" i="9"/>
  <c r="G50" i="9"/>
  <c r="G48" i="9"/>
  <c r="G47" i="9"/>
  <c r="G46" i="9"/>
  <c r="G45" i="9"/>
  <c r="G44" i="9"/>
  <c r="G40" i="9"/>
  <c r="G39" i="9"/>
  <c r="G38" i="9"/>
  <c r="G37" i="9"/>
  <c r="G36" i="9"/>
  <c r="G35" i="9"/>
  <c r="G34" i="9"/>
  <c r="G33" i="9"/>
  <c r="G32" i="9"/>
  <c r="G30" i="9"/>
  <c r="G29" i="9"/>
  <c r="G28" i="9"/>
  <c r="G27" i="9"/>
  <c r="G26" i="9"/>
  <c r="G22" i="9"/>
  <c r="G21" i="9"/>
  <c r="G20" i="9"/>
  <c r="G19" i="9"/>
  <c r="G18" i="9"/>
  <c r="G17" i="9"/>
  <c r="G16" i="9"/>
  <c r="G15" i="9"/>
  <c r="G13" i="9"/>
  <c r="G12" i="9"/>
  <c r="G11" i="9"/>
  <c r="G10" i="9"/>
  <c r="G9" i="9"/>
  <c r="F47" i="8"/>
  <c r="F46" i="8"/>
  <c r="E46" i="8"/>
  <c r="F45" i="8"/>
  <c r="E45" i="8"/>
  <c r="F44" i="8"/>
  <c r="E44" i="8"/>
  <c r="G41" i="8"/>
  <c r="G40" i="8"/>
  <c r="G39" i="8"/>
  <c r="G38" i="8"/>
  <c r="G37" i="8"/>
  <c r="G36" i="8"/>
  <c r="G35" i="8"/>
  <c r="G34" i="8"/>
  <c r="G31" i="8"/>
  <c r="G30" i="8"/>
  <c r="G29" i="8"/>
  <c r="G28" i="8"/>
  <c r="G27" i="8"/>
  <c r="G25" i="8"/>
  <c r="G24" i="8"/>
  <c r="G23" i="8"/>
  <c r="G22" i="8"/>
  <c r="G18" i="8"/>
  <c r="G17" i="8"/>
  <c r="G16" i="8"/>
  <c r="G15" i="8"/>
  <c r="G14" i="8"/>
  <c r="G12" i="8"/>
  <c r="G11" i="8"/>
  <c r="G10" i="8"/>
  <c r="G9" i="8"/>
  <c r="F51" i="7"/>
  <c r="F50" i="7"/>
  <c r="E50" i="7"/>
  <c r="F48" i="7"/>
  <c r="E48" i="7"/>
  <c r="F47" i="7"/>
  <c r="E47" i="7"/>
  <c r="G44" i="7"/>
  <c r="G43" i="7"/>
  <c r="G42" i="7"/>
  <c r="G41" i="7"/>
  <c r="G40" i="7"/>
  <c r="G38" i="7"/>
  <c r="G37" i="7"/>
  <c r="G36" i="7"/>
  <c r="G32" i="7"/>
  <c r="G31" i="7"/>
  <c r="G30" i="7"/>
  <c r="G29" i="7"/>
  <c r="G28" i="7"/>
  <c r="G26" i="7"/>
  <c r="G25" i="7"/>
  <c r="G24" i="7"/>
  <c r="G20" i="7"/>
  <c r="G19" i="7"/>
  <c r="G18" i="7"/>
  <c r="G16" i="7"/>
  <c r="G15" i="7"/>
  <c r="G14" i="7"/>
  <c r="G12" i="7"/>
  <c r="G11" i="7"/>
  <c r="G10" i="7"/>
  <c r="G746" i="6"/>
  <c r="F746" i="6"/>
  <c r="G735" i="6"/>
  <c r="F735" i="6"/>
  <c r="G722" i="6"/>
  <c r="F722" i="6"/>
  <c r="G717" i="6"/>
  <c r="F717" i="6"/>
  <c r="G710" i="6"/>
  <c r="F710" i="6"/>
  <c r="G702" i="6"/>
  <c r="F702" i="6"/>
  <c r="G689" i="6"/>
  <c r="F689" i="6"/>
  <c r="G675" i="6"/>
  <c r="F675" i="6"/>
  <c r="G405" i="6"/>
  <c r="F405" i="6"/>
  <c r="G396" i="6"/>
  <c r="F396" i="6"/>
  <c r="G389" i="6"/>
  <c r="F389" i="6"/>
  <c r="G380" i="6"/>
  <c r="F380" i="6"/>
  <c r="G353" i="6"/>
  <c r="F353" i="6"/>
  <c r="G345" i="6"/>
  <c r="F345" i="6"/>
  <c r="G326" i="6"/>
  <c r="F326" i="6"/>
  <c r="G311" i="6"/>
  <c r="F311" i="6"/>
  <c r="G302" i="6"/>
  <c r="F302" i="6"/>
  <c r="G291" i="6"/>
  <c r="F291" i="6"/>
  <c r="G282" i="6"/>
  <c r="F282" i="6"/>
  <c r="G270" i="6"/>
  <c r="F270" i="6"/>
  <c r="G261" i="6"/>
  <c r="F261" i="6"/>
  <c r="G249" i="6"/>
  <c r="F249" i="6"/>
  <c r="G240" i="6"/>
  <c r="F240" i="6"/>
  <c r="G228" i="6"/>
  <c r="F228" i="6"/>
  <c r="G219" i="6"/>
  <c r="F219" i="6"/>
  <c r="G207" i="6"/>
  <c r="F207" i="6"/>
  <c r="G198" i="6"/>
  <c r="F198" i="6"/>
  <c r="G187" i="6"/>
  <c r="F187" i="6"/>
  <c r="G178" i="6"/>
  <c r="F178" i="6"/>
  <c r="G168" i="6"/>
  <c r="F168" i="6"/>
  <c r="G159" i="6"/>
  <c r="F159" i="6"/>
  <c r="G149" i="6"/>
  <c r="F149" i="6"/>
  <c r="G140" i="6"/>
  <c r="F140" i="6"/>
  <c r="G128" i="6"/>
  <c r="F128" i="6"/>
  <c r="G119" i="6"/>
  <c r="F119" i="6"/>
  <c r="G107" i="6"/>
  <c r="F107" i="6"/>
  <c r="G98" i="6"/>
  <c r="F98" i="6"/>
  <c r="G81" i="6"/>
  <c r="F81" i="6"/>
  <c r="G72" i="6"/>
  <c r="F72" i="6"/>
  <c r="G52" i="6"/>
  <c r="F52" i="6"/>
  <c r="G32" i="6"/>
  <c r="F32" i="6"/>
  <c r="G26" i="6"/>
  <c r="F26" i="6"/>
  <c r="G20" i="6"/>
  <c r="F20" i="6"/>
  <c r="G4" i="6"/>
  <c r="F4" i="6"/>
  <c r="G56" i="11" l="1"/>
  <c r="F19" i="11"/>
  <c r="G19" i="11" s="1"/>
  <c r="G57" i="11"/>
  <c r="G58" i="11" s="1"/>
  <c r="G70" i="11"/>
  <c r="G71" i="11" s="1"/>
  <c r="E77" i="11" s="1"/>
  <c r="G77" i="11" s="1"/>
  <c r="F47" i="11"/>
  <c r="G47" i="11" s="1"/>
  <c r="G48" i="11" s="1"/>
  <c r="G49" i="11" s="1"/>
  <c r="G50" i="11" s="1"/>
  <c r="E75" i="11" s="1"/>
  <c r="G75" i="11" s="1"/>
  <c r="G20" i="11" l="1"/>
  <c r="G76" i="11"/>
  <c r="E76" i="11"/>
  <c r="G21" i="11"/>
  <c r="G22" i="11" s="1"/>
  <c r="G29" i="11" l="1"/>
  <c r="G30" i="11"/>
  <c r="G31" i="11" s="1"/>
  <c r="E74" i="11"/>
  <c r="G74" i="11" s="1"/>
  <c r="G83" i="11" s="1"/>
  <c r="G84" i="11" s="1"/>
  <c r="G85" i="11" s="1"/>
  <c r="E8" i="10" s="1"/>
  <c r="F8" i="10" s="1"/>
  <c r="F9" i="10" s="1"/>
  <c r="F29" i="10" s="1"/>
  <c r="F43" i="10" s="1"/>
  <c r="G27" i="10" l="1"/>
  <c r="G14" i="10"/>
  <c r="G20" i="10"/>
  <c r="F28" i="3" l="1"/>
  <c r="F19" i="3"/>
  <c r="F18" i="3"/>
  <c r="F17" i="3"/>
  <c r="F16" i="3"/>
  <c r="F20" i="3" s="1"/>
  <c r="F11" i="3"/>
  <c r="F10" i="3"/>
  <c r="F9" i="3"/>
  <c r="F8" i="3"/>
  <c r="F12" i="3" s="1"/>
  <c r="F24" i="3" s="1"/>
  <c r="F8" i="4"/>
  <c r="E8" i="4"/>
  <c r="C8" i="5" s="1"/>
  <c r="F58" i="3"/>
  <c r="F49" i="3"/>
  <c r="F48" i="3"/>
  <c r="F47" i="3"/>
  <c r="F46" i="3"/>
  <c r="F41" i="3"/>
  <c r="F40" i="3"/>
  <c r="F39" i="3"/>
  <c r="F38" i="3"/>
  <c r="G28" i="2"/>
  <c r="I28" i="2" s="1"/>
  <c r="H27" i="2"/>
  <c r="G27" i="2"/>
  <c r="G26" i="2"/>
  <c r="G24" i="2" s="1"/>
  <c r="G25" i="2"/>
  <c r="I25" i="2" s="1"/>
  <c r="H24" i="2"/>
  <c r="G23" i="2"/>
  <c r="I23" i="2" s="1"/>
  <c r="G22" i="2"/>
  <c r="I22" i="2" s="1"/>
  <c r="H21" i="2"/>
  <c r="G21" i="2"/>
  <c r="G29" i="2" s="1"/>
  <c r="G20" i="2"/>
  <c r="I20" i="2" s="1"/>
  <c r="G19" i="2"/>
  <c r="I19" i="2" s="1"/>
  <c r="G18" i="2"/>
  <c r="I18" i="2" s="1"/>
  <c r="G17" i="2"/>
  <c r="I17" i="2" s="1"/>
  <c r="G16" i="2"/>
  <c r="I16" i="2" s="1"/>
  <c r="H14" i="2"/>
  <c r="H4" i="2" s="1"/>
  <c r="H29" i="2" s="1"/>
  <c r="I13" i="2"/>
  <c r="I5" i="2"/>
  <c r="I26" i="2" l="1"/>
  <c r="C6" i="5"/>
  <c r="C25" i="1" s="1"/>
  <c r="I24" i="2"/>
  <c r="I14" i="2"/>
  <c r="I27" i="2"/>
  <c r="I21" i="2"/>
  <c r="I4" i="2"/>
  <c r="F26" i="3"/>
  <c r="F27" i="3" s="1"/>
  <c r="F29" i="3" s="1"/>
  <c r="F30" i="3" s="1"/>
  <c r="F50" i="3"/>
  <c r="F42" i="3"/>
  <c r="F54" i="3" s="1"/>
  <c r="C5" i="5"/>
  <c r="C11" i="5"/>
  <c r="C24" i="1" l="1"/>
  <c r="I29" i="2"/>
  <c r="C7" i="5"/>
  <c r="F56" i="3"/>
  <c r="F57" i="3" s="1"/>
  <c r="F59" i="3" s="1"/>
  <c r="F60" i="3" s="1"/>
  <c r="C13" i="5" l="1"/>
  <c r="C27" i="1" s="1"/>
  <c r="C12" i="5"/>
  <c r="C26" i="1"/>
  <c r="C9" i="5"/>
  <c r="C28" i="1" s="1"/>
  <c r="C17" i="5" l="1"/>
  <c r="C14" i="5"/>
  <c r="C29" i="1" l="1"/>
  <c r="C15" i="5"/>
  <c r="C16" i="5" s="1"/>
  <c r="B21" i="5" l="1"/>
</calcChain>
</file>

<file path=xl/sharedStrings.xml><?xml version="1.0" encoding="utf-8"?>
<sst xmlns="http://schemas.openxmlformats.org/spreadsheetml/2006/main" count="6036" uniqueCount="3200">
  <si>
    <t>PRESUPUESTO DE OBRA BIM</t>
  </si>
  <si>
    <t>Torre Santa Isabel · CVA Constructora</t>
  </si>
  <si>
    <t>Vinculado al modelo IFC · 186 partidas BIM</t>
  </si>
  <si>
    <t>DATOS DEL PROYECTO</t>
  </si>
  <si>
    <t>Proyecto</t>
  </si>
  <si>
    <t>Torre Santa Isabel</t>
  </si>
  <si>
    <t>Contratista</t>
  </si>
  <si>
    <t>CVA Constructora</t>
  </si>
  <si>
    <t>Director de obra</t>
  </si>
  <si>
    <t>Miguel Salazar</t>
  </si>
  <si>
    <t>Fecha base</t>
  </si>
  <si>
    <t>01/May/2026</t>
  </si>
  <si>
    <t>Fecha fin proyecto</t>
  </si>
  <si>
    <t>16/Feb/2028</t>
  </si>
  <si>
    <t>Plazo total (días)</t>
  </si>
  <si>
    <t>Modelo IFC</t>
  </si>
  <si>
    <t>STA_ISABEL_v3.ifc</t>
  </si>
  <si>
    <t>Versión presupuesto</t>
  </si>
  <si>
    <t>KPI EJECUTIVOS (auto-calculados)</t>
  </si>
  <si>
    <t>Presupuesto total</t>
  </si>
  <si>
    <t>Comprometido</t>
  </si>
  <si>
    <t>Ejecutado</t>
  </si>
  <si>
    <t>CPI</t>
  </si>
  <si>
    <t>Desviación total</t>
  </si>
  <si>
    <t>Proyección EAC</t>
  </si>
  <si>
    <t>Convención de colores: AZUL = inputs (editables) · NEGRO = fórmulas · VERDE = referencias entre hojas. NUNCA escribir en celdas negras.</t>
  </si>
  <si>
    <t>EDT · ESTRUCTURA DE DESGLOSE DE TRABAJO</t>
  </si>
  <si>
    <t>Editar solo columnas AZULES (Metrado, V.Unit, Ejec). Las columnas en NEGRO se calculan automáticamente. Capítulos (filas grises) suman sus partidas.</t>
  </si>
  <si>
    <t>Código</t>
  </si>
  <si>
    <t>Descripción</t>
  </si>
  <si>
    <t>BIM</t>
  </si>
  <si>
    <t>Unidad</t>
  </si>
  <si>
    <t>Metrado</t>
  </si>
  <si>
    <t>V. Unit.</t>
  </si>
  <si>
    <t>Presupuesto</t>
  </si>
  <si>
    <t>% Ejec.</t>
  </si>
  <si>
    <t>01</t>
  </si>
  <si>
    <t>01.01</t>
  </si>
  <si>
    <t>ml</t>
  </si>
  <si>
    <t>01.02</t>
  </si>
  <si>
    <t>m²</t>
  </si>
  <si>
    <t>02</t>
  </si>
  <si>
    <t>02.01</t>
  </si>
  <si>
    <t>Excavación manual</t>
  </si>
  <si>
    <t>m³</t>
  </si>
  <si>
    <t>02.02</t>
  </si>
  <si>
    <t>Pilotes D=60cm</t>
  </si>
  <si>
    <t>02.03</t>
  </si>
  <si>
    <t>Concreto muros cimentación</t>
  </si>
  <si>
    <t>02.04</t>
  </si>
  <si>
    <t>Acero longitudinal Ø3/8"</t>
  </si>
  <si>
    <t>kg</t>
  </si>
  <si>
    <t>02.05</t>
  </si>
  <si>
    <t>Estructura sótanos nivel -3</t>
  </si>
  <si>
    <t>03</t>
  </si>
  <si>
    <t>MEP</t>
  </si>
  <si>
    <t>03.01</t>
  </si>
  <si>
    <t>Red hidrosanitaria</t>
  </si>
  <si>
    <t>pto</t>
  </si>
  <si>
    <t>03.02</t>
  </si>
  <si>
    <t>Red eléctrica circuitos</t>
  </si>
  <si>
    <t>04</t>
  </si>
  <si>
    <t>Acabados</t>
  </si>
  <si>
    <t>04.01</t>
  </si>
  <si>
    <t>Mortero de nivelación pisos</t>
  </si>
  <si>
    <t>04.02</t>
  </si>
  <si>
    <t>Enchape cerámico baños</t>
  </si>
  <si>
    <t>05</t>
  </si>
  <si>
    <t>Urbanismo y exteriores</t>
  </si>
  <si>
    <t>05.01</t>
  </si>
  <si>
    <t>Adoquines vehiculares</t>
  </si>
  <si>
    <t>TOTAL</t>
  </si>
  <si>
    <t>Presupuesto base del proyecto</t>
  </si>
  <si>
    <t>APU · ANÁLISIS DE PRECIOS UNITARIOS</t>
  </si>
  <si>
    <t>Plantilla APU para partidas BIM. Cambiar partida en C4 para recalcular. Costo total unit. se transfiere automático al EDT.</t>
  </si>
  <si>
    <t>Partida actual:</t>
  </si>
  <si>
    <t>02.03 Concreto muros cimentación</t>
  </si>
  <si>
    <t>BIM vinculado:</t>
  </si>
  <si>
    <t>Sí (modelo IFC, 420 m³)</t>
  </si>
  <si>
    <t>1. MATERIALES</t>
  </si>
  <si>
    <t>Cantidad</t>
  </si>
  <si>
    <t>Desperdicio %</t>
  </si>
  <si>
    <t>Subtotal</t>
  </si>
  <si>
    <t>Concreto 3000 PSI</t>
  </si>
  <si>
    <t>Acero corrugado 3/8"</t>
  </si>
  <si>
    <t>Formaleta metálica</t>
  </si>
  <si>
    <t>Aditivos plastificantes</t>
  </si>
  <si>
    <t>lt</t>
  </si>
  <si>
    <t>Subtotal materiales (por m³)</t>
  </si>
  <si>
    <t>2. MANO DE OBRA Y EQUIPO</t>
  </si>
  <si>
    <t>Recurso</t>
  </si>
  <si>
    <t>Rendimiento</t>
  </si>
  <si>
    <t>Prestaciones %</t>
  </si>
  <si>
    <t>Jornal/Tarifa</t>
  </si>
  <si>
    <t>Oficial concreto</t>
  </si>
  <si>
    <t>jor</t>
  </si>
  <si>
    <t>Ayudante</t>
  </si>
  <si>
    <t>Vibrador concreto</t>
  </si>
  <si>
    <t>hr</t>
  </si>
  <si>
    <t>Bomba concreto</t>
  </si>
  <si>
    <t>Subtotal MO + Equipo (por m³)</t>
  </si>
  <si>
    <t>3. RESUMEN COSTOS</t>
  </si>
  <si>
    <t>Costo directo (materiales + MO)</t>
  </si>
  <si>
    <t>AIU % (Admin + Imprev. + Util.)</t>
  </si>
  <si>
    <t>AIU absoluto</t>
  </si>
  <si>
    <t>Costo total unitario (presup.)</t>
  </si>
  <si>
    <t>Costo unitario REAL (ejecutado)</t>
  </si>
  <si>
    <t>Desviación absoluta</t>
  </si>
  <si>
    <t>Desviación %</t>
  </si>
  <si>
    <t>ÓRDENES DE CAMBIO (OCC)</t>
  </si>
  <si>
    <t>Registro de cambios al presupuesto. La suma alimenta automáticamente el Resumen → desviación total.</t>
  </si>
  <si>
    <t>Partida afectada</t>
  </si>
  <si>
    <t>Fase</t>
  </si>
  <si>
    <t>Valor aprobado</t>
  </si>
  <si>
    <t>Impacto plazo (días)</t>
  </si>
  <si>
    <t>Solicitado por</t>
  </si>
  <si>
    <t>Estado</t>
  </si>
  <si>
    <t>OC-C001</t>
  </si>
  <si>
    <t>Sobrecosto concreto muros</t>
  </si>
  <si>
    <t>F2</t>
  </si>
  <si>
    <t>R. Gómez</t>
  </si>
  <si>
    <t>En revisión</t>
  </si>
  <si>
    <t>OC-C002</t>
  </si>
  <si>
    <t>Refuerzo adicional pilotes</t>
  </si>
  <si>
    <t>F1</t>
  </si>
  <si>
    <t>C. Torres</t>
  </si>
  <si>
    <t>Aprobada</t>
  </si>
  <si>
    <t>OC-C003</t>
  </si>
  <si>
    <t>Cambio especificación acero</t>
  </si>
  <si>
    <t>Borrador</t>
  </si>
  <si>
    <t>Valor aprobado (suma 3 OCC)</t>
  </si>
  <si>
    <t>RESUMEN EJECUTIVO · EVM</t>
  </si>
  <si>
    <t>Indicadores Earned Value Management calculados desde EDT + OrdenesCambio.</t>
  </si>
  <si>
    <t>Presupuesto base (sin OCC)</t>
  </si>
  <si>
    <t>Línea base aprobada</t>
  </si>
  <si>
    <t>26% del total (sim.)</t>
  </si>
  <si>
    <t>Ejecutado real (AC)</t>
  </si>
  <si>
    <t>Suma de columna Ejec del EDT</t>
  </si>
  <si>
    <t>Sobrecosto por OCC</t>
  </si>
  <si>
    <t>Suma órdenes de cambio</t>
  </si>
  <si>
    <t>Ejec + OCC - Presup</t>
  </si>
  <si>
    <t>Valor planificado (PV)</t>
  </si>
  <si>
    <t>PV al corte de hoy</t>
  </si>
  <si>
    <t>Valor ganado (EV)</t>
  </si>
  <si>
    <t>EV = AC × CPI</t>
  </si>
  <si>
    <t>Costo real (AC)</t>
  </si>
  <si>
    <t>Igual a Ejecutado</t>
  </si>
  <si>
    <t>CPI (Cost Performance Idx)</t>
  </si>
  <si>
    <t>EV / AC — &gt; 1 = bajo presup.</t>
  </si>
  <si>
    <t>EAC (Estimate at Completion)</t>
  </si>
  <si>
    <t>Presup / CPI</t>
  </si>
  <si>
    <t>VAC (Variance at Completion)</t>
  </si>
  <si>
    <t>Presup - EAC</t>
  </si>
  <si>
    <t>SPI (Schedule Performance)</t>
  </si>
  <si>
    <t>EV / PV</t>
  </si>
  <si>
    <t>CONCLUSIÓN GERENCIAL</t>
  </si>
  <si>
    <t>PROCESO CONSTRUCTIVO DETALLADO — TORRE SANTA ISABEL | 12 Pisos | 89 Apartamentos VIS+NO VIS | CVA Constructora SAS | Santa Isabel Dos Quebradas, Risaralda</t>
  </si>
  <si>
    <t>Sistema: Muros+losas f'c=21MPa | Vigas f'c=24.5MPa | Pilotes+columnas f'c=28MPa | Tanque 90.000L f'c=28MPa+Penetron | FORSA/UNISPAN | NSR-10 | INICIO: 01/05/2026 | FIN OBRA: 31/10/2027</t>
  </si>
  <si>
    <t>ID</t>
  </si>
  <si>
    <t>EDT</t>
  </si>
  <si>
    <t>ACTIVIDAD / DESCRIPCIÓN</t>
  </si>
  <si>
    <t>DUR</t>
  </si>
  <si>
    <t>TRASLAPE / NOTA RUTA CRÍTICA</t>
  </si>
  <si>
    <t>inicio</t>
  </si>
  <si>
    <t>FIN</t>
  </si>
  <si>
    <t>RESPONSABLE</t>
  </si>
  <si>
    <t>PREDEC.</t>
  </si>
  <si>
    <t>ESTADO</t>
  </si>
  <si>
    <t>⚑</t>
  </si>
  <si>
    <t>F0</t>
  </si>
  <si>
    <t>FASE 0 — PREOBRA Y GESTIÓN INICIAL</t>
  </si>
  <si>
    <t>60d</t>
  </si>
  <si>
    <t>▶ RUTA CRÍTICA — Tramitación permisos, contratación especialistas, diseños, alistamiento lote</t>
  </si>
  <si>
    <t>Gerencia</t>
  </si>
  <si>
    <t>F0.1</t>
  </si>
  <si>
    <t>Verificación y radicación de Licencia de Construcción ante curador urbano</t>
  </si>
  <si>
    <t>10d</t>
  </si>
  <si>
    <t>Licencia LU vigente | Verificar condiciones especiales | Curador Dosquebradas</t>
  </si>
  <si>
    <t>Gerencia / Arq.</t>
  </si>
  <si>
    <t>Pendiente</t>
  </si>
  <si>
    <t>F0.2</t>
  </si>
  <si>
    <t>Tramitación de servicios públicos provisionales (agua, luz, sanitario)</t>
  </si>
  <si>
    <t>5d</t>
  </si>
  <si>
    <t>Medidor propio de obra | Plazo empresa: 15 días | Solicitar desde F0.1</t>
  </si>
  <si>
    <t>Dir. Obra</t>
  </si>
  <si>
    <t>F0.3</t>
  </si>
  <si>
    <t>Apertura cuenta bancaria proyecto + separación de recursos (Ley 1796)</t>
  </si>
  <si>
    <t>Ley 1796/2016: cuenta patrimonial separada OBLIGATORIA para VIS | Informe mensual a fiducia</t>
  </si>
  <si>
    <t>F0.4</t>
  </si>
  <si>
    <t>Selección y contratación de Supervision técnica (NSR-10 obligatorio)</t>
  </si>
  <si>
    <t>Ing. civil matriculado + póliza responsabilidad | Contrato antes de pilotaje | NSR-10 Título I obligatorio</t>
  </si>
  <si>
    <t>F0.5</t>
  </si>
  <si>
    <t>Revisión y aprobación de diseños estructurales (refuerzo muros, placas, pilotes)</t>
  </si>
  <si>
    <t>8d</t>
  </si>
  <si>
    <t>★ Resistencias: pilotes+columnas=28MPa | vigas=24.5MPa | muros+losas=21MPa | Planos firmados ingeniero matriculado</t>
  </si>
  <si>
    <t>Ing. Estructural</t>
  </si>
  <si>
    <t>F0.6</t>
  </si>
  <si>
    <t xml:space="preserve">Aprobación de diseños hidrosanitarios, eléctricos, gas y contra incendios- Incuye tanque de almacenamiento y cubierta de torre </t>
  </si>
  <si>
    <t>Tanque: f'c=28MPa + aditivo impermeabilizante + cinta PVC Ø22 + Penetron/Xypex | RCI: NFPA 13 + NFPA 72</t>
  </si>
  <si>
    <t>Ing. Especialistas</t>
  </si>
  <si>
    <t>F0.7</t>
  </si>
  <si>
    <t>Estudio de suelos + informe de pilotaje y capacidad portante</t>
  </si>
  <si>
    <t>15d</t>
  </si>
  <si>
    <t>147 pilotes Ø40cm L=8.5m confirmados | Informe capacidad portante | NSR-10 C.18</t>
  </si>
  <si>
    <t>Laboratorio Suelos</t>
  </si>
  <si>
    <t>F0.8</t>
  </si>
  <si>
    <t>Plan de manejo ambiental y de seguridad industrial (SISO) (RCD)</t>
  </si>
  <si>
    <t>Escombrera autorizada | SISO: ISO 45001 | Señal. vial temporal | PMU si aplica</t>
  </si>
  <si>
    <t>Dir. Obra / SISO</t>
  </si>
  <si>
    <t>F0.9</t>
  </si>
  <si>
    <t>Programa de obra detallado y flujo de caja del proyecto</t>
  </si>
  <si>
    <t>Cronograma CPM con fechas | Flujo caja mensual vs. disponibilidad | Aprobado Gerencia</t>
  </si>
  <si>
    <t>F0.10</t>
  </si>
  <si>
    <t xml:space="preserve">Contratación de contratistas clave: pilotaje, formaleta FORSA, estructura instalciones </t>
  </si>
  <si>
    <t>Pilotero certificado | FORSA disponible | SCALA KL-K001 contrato | Gasero RETTIG</t>
  </si>
  <si>
    <t>F0.11</t>
  </si>
  <si>
    <t>Instalación de campamento de obra, bodega, baños portátiles y cerramiento Perimetral</t>
  </si>
  <si>
    <t>Campamento: oficinas + bodega materiales | Cerramiento lona verde h=2.0m | Acceso controlado</t>
  </si>
  <si>
    <t>Res. Obra</t>
  </si>
  <si>
    <t>F0.12</t>
  </si>
  <si>
    <t>Nivelación topográfica del lote y levantamiento planimétrico</t>
  </si>
  <si>
    <t>3d</t>
  </si>
  <si>
    <t>BM fijo en borde lote | N±0.00 = piso terminado | Plano topográfico firmado</t>
  </si>
  <si>
    <t>Topografía</t>
  </si>
  <si>
    <t>F0.13</t>
  </si>
  <si>
    <t>Replanteo general: ejes de muros, cuadrícula de pilotes, cotas de referencia</t>
  </si>
  <si>
    <t>2d</t>
  </si>
  <si>
    <t>147 pilotes georref. | Tolerancia ±25mm NSR-10 C.18 | Ejes clavados en lote | Acta</t>
  </si>
  <si>
    <t>F0.14</t>
  </si>
  <si>
    <t>AN</t>
  </si>
  <si>
    <t>Señas reflectivas | Pasos peatonales provisionales | Reunión vecinos: horario, ruido, polvo</t>
  </si>
  <si>
    <t>SISO / Dir. Obra</t>
  </si>
  <si>
    <t>⚑ H-F0</t>
  </si>
  <si>
    <t>0.H</t>
  </si>
  <si>
    <t>HITO: Licencia vigente, lote cerrrado, diseños aprobados, contratos clave firmados — ORDEN DE INICIO</t>
  </si>
  <si>
    <t>—</t>
  </si>
  <si>
    <t>Interventoría verifica cumplimiento antes de autorizar siguiente fase</t>
  </si>
  <si>
    <t>F0.1–F0.14</t>
  </si>
  <si>
    <t>Hito</t>
  </si>
  <si>
    <t>FASE 1 — DESCAPOTE, EXCAVACIÓN Y PREPARACIÓN DEL TERRENO</t>
  </si>
  <si>
    <t>▶ RUTA CRÍTICA — Preparación terreno hasta cotas de diseño para inicio de pilotaje</t>
  </si>
  <si>
    <t>F0.H</t>
  </si>
  <si>
    <t>F1.1</t>
  </si>
  <si>
    <t>Descapote y retiro de capa vegetal (0-30 cm) — disposición en escombrera autorizada</t>
  </si>
  <si>
    <t>Vol. descapote: área lote × 0.30m | Escombrera certificada Decreto 1076 | Registro fotográfico</t>
  </si>
  <si>
    <t>F1.2</t>
  </si>
  <si>
    <t>Excavación general según cotas de diseño — control topográfico permanente</t>
  </si>
  <si>
    <t>Cotas verificadas por topógrafo c/50m² | Retiro a escombrera | Señalización bordes excavación SISO</t>
  </si>
  <si>
    <t>Res. Obra / Topografía</t>
  </si>
  <si>
    <t>F1.3</t>
  </si>
  <si>
    <t>Retiro de material sobrante y disposición en escombrera certificada</t>
  </si>
  <si>
    <t>Guía de transporte por viaje | Escombrera autorizada municipio Dosquebradas</t>
  </si>
  <si>
    <t>4d</t>
  </si>
  <si>
    <t>F1.5</t>
  </si>
  <si>
    <t>Verificación de cotas de fondo y capacidad portante visual — concepto ing. suelos</t>
  </si>
  <si>
    <t>1d</t>
  </si>
  <si>
    <t>Verificación visual estratigrafía | Concepto escrito ing. suelos | Acta interventoría antes de instalar jaulas</t>
  </si>
  <si>
    <t>Ing. Suelos / Interventoría</t>
  </si>
  <si>
    <t>⚑ H-F1</t>
  </si>
  <si>
    <t>1.H</t>
  </si>
  <si>
    <t>HITO: Terreno excavado a cotas de diseño, fondo de pozos aprobado por interventoría</t>
  </si>
  <si>
    <t>Interventoría</t>
  </si>
  <si>
    <t xml:space="preserve"> </t>
  </si>
  <si>
    <t>FASE 2 — REDES HIDROSANITARIAS Y ELÉCTRICAS PROVISIONALES</t>
  </si>
  <si>
    <t>▶ RUTA CRÍTICA — Servicios provisionales operativos como prerrequisito para inicio de pilotaje</t>
  </si>
  <si>
    <t>Ing. Hidrosanitario</t>
  </si>
  <si>
    <t>F1.H</t>
  </si>
  <si>
    <t>F2.1</t>
  </si>
  <si>
    <t>Instalación de red provisional de agua potable con medidor propio</t>
  </si>
  <si>
    <t>Medidor propio de obra | Llave de corte | Verificar presión mín. 0.4 kg/cm² | Aval empresa acueducto</t>
  </si>
  <si>
    <t>F2.2</t>
  </si>
  <si>
    <t>Instalación de conexión provisional eléctrica con acometida propia</t>
  </si>
  <si>
    <t>Tablero provisional: 1 interruptor principal + circuitos iluminación + tomas | RETIE provisional</t>
  </si>
  <si>
    <t>Electricista</t>
  </si>
  <si>
    <t>F2.3</t>
  </si>
  <si>
    <t>Instalación de bajante provisional aguas lluvias y manejo de aguas superficiales</t>
  </si>
  <si>
    <t>Drenajes hacia alcantarillado provisional | Impedir encharcamiento en pozos de pilotes</t>
  </si>
  <si>
    <t>F2.4</t>
  </si>
  <si>
    <t>Verificación SISO de instalaciones provisionales — aval operación</t>
  </si>
  <si>
    <t>Inspección SISO: tablero provisional asegurado, agua sin goteos, señalización de riesgos eléctricos</t>
  </si>
  <si>
    <t>SISO</t>
  </si>
  <si>
    <t>⚑ H-F2</t>
  </si>
  <si>
    <t>2.H</t>
  </si>
  <si>
    <t>HITO: Obra con servicios provisionales operativos — autorizada para inicio de pilotaje</t>
  </si>
  <si>
    <t>F3</t>
  </si>
  <si>
    <t>FASE 3 — CIMENTACIÓN: PILOTES + VIGAS CORRIDAS + PLACA DE CONTRAPISO</t>
  </si>
  <si>
    <t>35d</t>
  </si>
  <si>
    <t>▶ RUTA CRÍTICA | Pilotes: f'c=28MPa | Vigas: f'c=24.5MPa | Contrapiso: f'c=21MPa | NSR-10 C.18</t>
  </si>
  <si>
    <t>F2.H</t>
  </si>
  <si>
    <t>F3.1</t>
  </si>
  <si>
    <t>Replanteo de cuadrícula de pilotes con estación total — fijación de ejes</t>
  </si>
  <si>
    <t>Estación total | 147 puntos georref. | Tolerancia posición ±25mm NSR-10 C.18 | Acta topógrafo</t>
  </si>
  <si>
    <t>F3.2</t>
  </si>
  <si>
    <t>Instalación de equipo de perforación — prueba de funcionamiento y calibración</t>
  </si>
  <si>
    <t>Equipo rotatorio o percutivo | Calibración profundidad mín. 8.5m | Verificar verticalidad dispositivo</t>
  </si>
  <si>
    <t>Pilotero</t>
  </si>
  <si>
    <t>F3.3</t>
  </si>
  <si>
    <t>Perforación de pilotes a profundidad de diseño — registro de avance por pilote</t>
  </si>
  <si>
    <t>Registro por pilote: fecha, hora inicio/fin, cota punta, descripción suelo por capa | Informe diario | Concluir pilote si hay agua</t>
  </si>
  <si>
    <t>F3.4</t>
  </si>
  <si>
    <t>Habilitado y bajada de jaula de refuerzo — verificación longitud y traslapes</t>
  </si>
  <si>
    <t>Jaula: refuerzo longitudinal + espiral | Recubrimiento 7cm (cara suelo) | Longitud jaula = L pilote + 20cm arranque</t>
  </si>
  <si>
    <t>Fierrero / Interventoría</t>
  </si>
  <si>
    <t>F3.5</t>
  </si>
  <si>
    <t>Vaciado de pilotes con trémie — concreto f’c=28 MPa — registro volumen por pilote</t>
  </si>
  <si>
    <t>★ TRÉMIE hasta fondo antes de vaciar | f'c=28MPa | 4 cilindros por día de vaciado | Extracción continua | Temperatura concreto ≤35°C</t>
  </si>
  <si>
    <t>Concretero / Interventoría</t>
  </si>
  <si>
    <t>F3.6</t>
  </si>
  <si>
    <t>Curado de pilotes (mínimo 7 días) — sellado de cabezas con curador químico</t>
  </si>
  <si>
    <t>7d</t>
  </si>
  <si>
    <t>Curador acrílico aplicado inmediatamente post-vaciado | Plástico húmedo en boca | Cilindros 7d: ≥80% f'c antes de descabece</t>
  </si>
  <si>
    <t>F3.7</t>
  </si>
  <si>
    <t>Pruebas de integridad de pilotes (PDA o Cross-Hole) — informe por laboratorio</t>
  </si>
  <si>
    <t>PDA o CSL según criterio interventoría | NSR-10 C.18 | Mín. 10% de los pilotes (=15) | Informe laboratorio antes de vaciar vigas</t>
  </si>
  <si>
    <t>Laboratorio / Interventoría</t>
  </si>
  <si>
    <t>F3.8</t>
  </si>
  <si>
    <t>Descabece de pilotes a cota de arranque de vigas — limpieza y preparación</t>
  </si>
  <si>
    <t>Romper cabeza pilote: 5-10cm concreto contaminado | Exposición refuerzo limpio para traslape con vigas | Cota exacta diseño</t>
  </si>
  <si>
    <t>F3.9</t>
  </si>
  <si>
    <t>Armado de vigas de arriostramiento (vigas corridas) — verificación recubrimientos</t>
  </si>
  <si>
    <t>★ VIGAS f'c=24.5MPa (NO 28MPa) | Recubrimiento 4cm cara suelo, 3cm caras internas | NSR-10 C.12 | Traslapes ≥40Ø</t>
  </si>
  <si>
    <t>F3.10</t>
  </si>
  <si>
    <t>Instalación de redes hidrosanitarias y eléctricas embebidas bajo placa</t>
  </si>
  <si>
    <t>Gas: ductería RETTIG amarilla embebida | Desagüe: PVC Ø4" | Conduits eléctricos PVC 1/2" | Tapones en extremos | Verificar pendientes</t>
  </si>
  <si>
    <t>F3.11</t>
  </si>
  <si>
    <t>Encofrado lateral de vigas y colocación de malla electrosoldada de placa</t>
  </si>
  <si>
    <t>Malla M-131 fy=490MPa sobre cama de arena 10cm | Separadores 3cm | Encofrado lateral verificado con nivel manguera</t>
  </si>
  <si>
    <t>Carpintero / Res. Obra</t>
  </si>
  <si>
    <t>F3.12</t>
  </si>
  <si>
    <t>Revisión de interventoría pre-vaciado: refuerzo, malla, redes — acta aprobación</t>
  </si>
  <si>
    <t>Lista de chequeo: ✓refuerzo ✓recubrimiento ✓malla ✓redes ✓encofrado niveles | Sin acta NO se vacía | NSR-10 C.7.4</t>
  </si>
  <si>
    <t>F3.13</t>
  </si>
  <si>
    <t>Vaciado de vigas de arriostramiento y placa de contrapiso (e=15 cm) — f’c=28 MPa</t>
  </si>
  <si>
    <t>★ VIGAS f'c=24.5MPa | ★ CONTRAPISO f'c=21MPa (NO 28MPa) | Vibrador c/30cm capas ≤30cm | T concreto ≤35°C</t>
  </si>
  <si>
    <t>Concretero / Res. Obra</t>
  </si>
  <si>
    <t>F3.14</t>
  </si>
  <si>
    <t>Toma de cilindros de concreto (mínimo 4 por vaciado) — remisión a laboratorio</t>
  </si>
  <si>
    <t>4 cilindros por vaciado: 2 para 7d + 2 para 28d | Temperatura concreto registrada | Laboratorio acreditado ONAC</t>
  </si>
  <si>
    <t>Laboratorio</t>
  </si>
  <si>
    <t>F3.15</t>
  </si>
  <si>
    <t>Vibración de concreto y acabado superficial con Platacho — nivelación de placa</t>
  </si>
  <si>
    <t>Vibrador sumergible Ø2" | Fratachado: platacho para superficie uniforme | Nivel láser: planeidad ±3mm</t>
  </si>
  <si>
    <t>F3.16</t>
  </si>
  <si>
    <t>Curado húmedo de placa de contrapiso (mínimo 7 días) — curador químico + humedad</t>
  </si>
  <si>
    <t>Curador acrílico inmediatamente post-vaciado | Cobertor plástico 7 días | Temperatura mín. 10°C | Cilindros 7d: ≥80% f'c</t>
  </si>
  <si>
    <t>F3.17</t>
  </si>
  <si>
    <t>Impermeabilización de placa de contrapiso con geomembrana o Plastico</t>
  </si>
  <si>
    <t>Geomembrana PVC o polietileno 1mm | Traslapes ≥30cm sellados | Bordes anclados a muros perimetrales | Verificar sin perforaciones</t>
  </si>
  <si>
    <t>Impermeabilizador</t>
  </si>
  <si>
    <t>F3.18</t>
  </si>
  <si>
    <t>Informe de resultados de cilindros de concreto — verificación resistencia f’c</t>
  </si>
  <si>
    <t>Cilindros 28d: ≥100% f'c | Informe laboratorio | Si no cumple: plan de contingencia estructural | Acta firmada</t>
  </si>
  <si>
    <t>Res. Obra / Interventoría</t>
  </si>
  <si>
    <t>⚑ H-F3</t>
  </si>
  <si>
    <t>3.H</t>
  </si>
  <si>
    <t>HITO: Cimentación terminada — pilotes ensayados, vigas vaciadas, placa impermeabilizada y aprobada</t>
  </si>
  <si>
    <t>F3.10–F3.19</t>
  </si>
  <si>
    <t>F4</t>
  </si>
  <si>
    <t>FASE 4 — ESTRUCTURA PISO 1: MUROS f'c=21MPa + PLACA f'c=21MPa | FORMALETA FORSA/UNISPAN | Ciclo 18 días</t>
  </si>
  <si>
    <t>18d</t>
  </si>
  <si>
    <t>▶ RUTA CRÍTICA — Ciclo FORSA/UNISPAN | INICIO: tras H-F3 (Cimentación aprobada)</t>
  </si>
  <si>
    <t>Res. Estructura</t>
  </si>
  <si>
    <t>F3.H</t>
  </si>
  <si>
    <t>F4.1</t>
  </si>
  <si>
    <t>Replanteo ejes de muros P1 con estación total  y manual— clavado de trazos en placa</t>
  </si>
  <si>
    <t>Tolerancia ±3mm | Plomada láser | Verificar verticalidad acumulada: máx H/500 NSR-10 | Ejes clavados en losa</t>
  </si>
  <si>
    <t>F4.2</t>
  </si>
  <si>
    <t>Habilitado y armado de refuerzo vertical de muros (ref vertical + estribos según plano) garant recubrimientos</t>
  </si>
  <si>
    <t>NSR-10 C.14 | Doble malla #3@200mm vertical y horizontal | Bastones arranque losa: doblados 90° | Traslapes mín. 40Ø | Separadores plásticos</t>
  </si>
  <si>
    <t>Fierrero</t>
  </si>
  <si>
    <t>F4.3</t>
  </si>
  <si>
    <t>Instalación de tuberías hidrosanitarias, eléctricas y de gas embebidas en muros</t>
  </si>
  <si>
    <t>Gas: ductería RETTIG amarilla 1/2" (NO PVC negro) | Coaxial: 1 ducto sala + 1 alcoba ppal | Tapones extremos | Fijación c/60cm</t>
  </si>
  <si>
    <t>Inst. Hidrosanitario / Electricista</t>
  </si>
  <si>
    <t>F4.4</t>
  </si>
  <si>
    <t xml:space="preserve">Revisión pre-encofrado por interventoría: refuerzo, recubrimientos, redes — acta o formato de entrega </t>
  </si>
  <si>
    <t>NSR-10 C.7.4 | Lista chequeo: ✓doble malla ✓recubrimiento ✓bastones arranque ✓redes sujetas ✓sin interferencias | Sin acta NO encofrar</t>
  </si>
  <si>
    <t>F4.5</t>
  </si>
  <si>
    <t>Aplicación de aceite desmoldante en paneles FORSA — revisión de trabas y alineación</t>
  </si>
  <si>
    <t>FORSA modular | Aceite desmoldante uniforme | Aplome: nivel topográfico ±3mm | Pie de amigo c/1.0m</t>
  </si>
  <si>
    <t>Carpintero Formaleta</t>
  </si>
  <si>
    <t>F4.6</t>
  </si>
  <si>
    <t>Instalación de formaleta FORSA en muros: plomada, alineación, anclaje y arriostramiento</t>
  </si>
  <si>
    <t>Aplome FORSA muros P1: plomada ±3mm + arriostramiento c/1.0m | Cerrar sin pellizcar ductos</t>
  </si>
  <si>
    <t>F4.7</t>
  </si>
  <si>
    <t>Montaje de formaleta de losa (puntales, fondos, vigas sopor FORSA)</t>
  </si>
  <si>
    <t>★ PUNTALES PERMANECEN MÍNIMO 21 DÍAS (ACI 347.2R) | Nivelación láser horizontal ±2mm | Tablero sin huecos</t>
  </si>
  <si>
    <t>F4.8</t>
  </si>
  <si>
    <t>Armado de refuerzo de losa — malla superior e inferior según planos estructurales</t>
  </si>
  <si>
    <t>Malla doble #3@200mm | Recubrimiento 3cm superior e inferior | Bastones perimetrales en apoyos</t>
  </si>
  <si>
    <t>F4.9</t>
  </si>
  <si>
    <t>Instalación de tuberías eléctricas, gas e hidrosanitarias embebidas en losa (conduits, dados)</t>
  </si>
  <si>
    <t>Conduits eléctricos + bajantes HS embebidas en losa antes de vaciar | Tapones en extremos</t>
  </si>
  <si>
    <t>Electricista / Inst. Hidrosanitario</t>
  </si>
  <si>
    <t>F4.10</t>
  </si>
  <si>
    <t>Revisión pre-vaciado: losa armada, redes, puntales, formaleta — ACTA INTERVENTORÍA</t>
  </si>
  <si>
    <t>NSR-10 C.7.4 | ✓Malla doble ✓Recubrimiento 3cm ✓Bastones apoyo ✓Ductos posición ✓Puntales nivelados ✓Tablero completo | Sin acta NO se vacía</t>
  </si>
  <si>
    <t>F4.11</t>
  </si>
  <si>
    <t>Vaciado monolítico muros P1 (f'c=21MPa) + losa P1 (f'c=21MPa) — bomba de concreto — vibración sistemática c/30cm</t>
  </si>
  <si>
    <t>★ MUROS f'c=21MPa (NO 28MPa) | ★ LOSA f'c=21MPa (NO 28MPa) | Capas ≤30cm | Vibrador Ø1.5" en muros | Fratachado losa antes de fraguar | T≤35°C</t>
  </si>
  <si>
    <t>F4.12</t>
  </si>
  <si>
    <t>Vibración sistemática del concreto c/30cm + acabado superficial losa con platacho — nivel láser ±3mm</t>
  </si>
  <si>
    <t>Vibrador sumergible Ø1.5" en muros | Platacho en losa | Nivel láser planeidad ±3mm | Verificar ausencia cangrejeras</t>
  </si>
  <si>
    <t>F4.13</t>
  </si>
  <si>
    <t>Toma de cilindros (mín. 4 unidades por vaciado) — envío a laboratorio</t>
  </si>
  <si>
    <t>4 cilindros por vaciado: 2 para 7d + 2 para 28d | Temperatura concreto registrada | Laboratorio ONAC</t>
  </si>
  <si>
    <t>F4.14</t>
  </si>
  <si>
    <t>Curado húmedo de losa y muros (mín. 7 días) — curador químico o arpillera húmeda</t>
  </si>
  <si>
    <t>Curador acrílico aplicar inmediatamente post-vaciado | Plástico húmedo 7 días mínimo | Temperatura mín. 10°C</t>
  </si>
  <si>
    <t>F4.15</t>
  </si>
  <si>
    <t>Desencofrado de muros tras 24h mínimo (con autorización interventoría)Dejando puntales intermedios</t>
  </si>
  <si>
    <t>★ PUNTALES LOSA: mínimo 21 días desde vaciado (ACI 347.2R) — NO retirar antes | Desencofre muros: 16h mín. T&gt;20°C | Cangrejeras: picar + mortero reparador</t>
  </si>
  <si>
    <t>F4.16</t>
  </si>
  <si>
    <t>Desencofrado de losa P1 — retiro puntales según resistencia certificada (mín. 70% f’c)</t>
  </si>
  <si>
    <t>★ PUNTALES LOSA: mínimo 21 días desde vaciado (ACI 347.2R) | Desencofrado losa sólo con resistencia certificada ≥70% f'c</t>
  </si>
  <si>
    <t>Carpintero Formaleta / Interventoría</t>
  </si>
  <si>
    <t>F4.17</t>
  </si>
  <si>
    <t>Inspección de muros y losa: Hormiguiado, alineación, plomada, cotas de entrepiso</t>
  </si>
  <si>
    <t>Verificar: cangrejeras reparadas | Plomada muros ±3mm | Nivelación losa ±5mm | Cotas diseño | Bastones arranque libres</t>
  </si>
  <si>
    <t>F4.18</t>
  </si>
  <si>
    <t>Construcción de escalera P0→P1: losa inclinada, escalones, barandas provisionales</t>
  </si>
  <si>
    <t>Escalera: h/CP=18cm | Garganta t=12cm | Acero: #3@150mm long + #3@200mm transv | f'c=21MPa | Baranda provisional h=1.0m</t>
  </si>
  <si>
    <t>⚑ H-F4</t>
  </si>
  <si>
    <t>4.H</t>
  </si>
  <si>
    <t>HITO: Piso 1 vaciado, curado y desencofrado — cilindros en laboratorio — apto para ciclo P2</t>
  </si>
  <si>
    <t>F5</t>
  </si>
  <si>
    <t>FASE 5 — OBRA GRIS P1: MAMPOSTERÍA + COLUMNETAS + DINTELES + RESANES | Inicia tras H-F8 (Estructura P4) | PARALELO</t>
  </si>
  <si>
    <t>◄► PARALELO CON F9 (Estructura P5) — Inicia tras H-F8 (Estructura P4) — colchón 3 pisos — cuadrilla mampostería independiente de FORSA</t>
  </si>
  <si>
    <t>F5.1</t>
  </si>
  <si>
    <t>Replanteo de muros divisorios y mampostería P1 según planos arquitectónicos — trazado en losa con nivel láser</t>
  </si>
  <si>
    <t>Planos arq. aprobados | Nivel láser | Trazado con cordel | Verificar escuadra de espacios</t>
  </si>
  <si>
    <t>F5.2</t>
  </si>
  <si>
    <t>Construcción de muros divisorios interiores en bloque o ladrillo según planos — hiladas a plomada y nivel, juntas de 1cm</t>
  </si>
  <si>
    <t>Mortero 1:4 | Junta 1cm uniforme | Plomada c/3 hiladas | Humedecer bloque 30min antes | Separación junta 1cm de muros estructurales (relleno silicona)</t>
  </si>
  <si>
    <t>F5.3</t>
  </si>
  <si>
    <t>Construcción de columnetas de confinamiento: habilitado de hierro, formaleta y vaciado — amarre con mampostería según NSR-10</t>
  </si>
  <si>
    <t>0.10×0.10m mín | 4#3 + estribos #2@20cm | Concreto f'c=21MPa manual o con mezcladora | Amarre con mampostería NSR-10 E.3.5</t>
  </si>
  <si>
    <t>F5.4</t>
  </si>
  <si>
    <t>Construcción de dinteles en vanos de puertas y ventanas: habilitado, formaleta, vaciado concreto f’c=21 MPa — curado 3 días</t>
  </si>
  <si>
    <t>Dintel: ancho vano + 30cm apoyo c/lado | #3 longitudinal + estribos | Curado: cobertor plástico 3 días | f'c=21MPa</t>
  </si>
  <si>
    <t>F5.5</t>
  </si>
  <si>
    <t>Resane de muros de concreto: corrección de cangrejeras, huecos de puntales, juntas y superficies irregulares con mortero de resane 1:2</t>
  </si>
  <si>
    <t>Mortero resane 1:2 | Picar antes de aplicar | Humedecer superficie | Verificar que todos los huecos de puntales quedan cubiertos</t>
  </si>
  <si>
    <t>F5.6</t>
  </si>
  <si>
    <t>Resane de placas (losas): juntas, huecos de instalaciones, irregularidades — mortero de cemento — revisado por interventoría</t>
  </si>
  <si>
    <t>Mortero cemento-arena 1:2 | Nivel laser: planeidad ≤5mm/2m | Revisar huecos conduits | Acta interventoría</t>
  </si>
  <si>
    <t>F5.7</t>
  </si>
  <si>
    <t>Inspección de obra gris P1: plomada de muros, verticalidad columnetas, cotas, estado dinteles, resanes — acta interventoría</t>
  </si>
  <si>
    <t>Verificar: plomada muros ±5mm | Columnetas verticalidad ±3mm | Dinteles sin fisuras | Resanes uniformes | Acta firmada antes de acabados</t>
  </si>
  <si>
    <t>⚑ H-F5</t>
  </si>
  <si>
    <t>5.H</t>
  </si>
  <si>
    <t>HITO: Obra gris P1 completa — mampostería, columnetas y dinteles vaciados, resanes terminados, aprobado por interventoría</t>
  </si>
  <si>
    <t>F6</t>
  </si>
  <si>
    <t>FASE 6 — ESTRUCTURA PISO 2: MUROS f'c=21MPa + PLACA f'c=21MPa | FORMALETA FORSA/UNISPAN | Ciclo 18 días</t>
  </si>
  <si>
    <t>▶ RUTA CRÍTICA — Ciclo FORSA/UNISPAN | INICIO: tras H-F4 (P1 aprobado)</t>
  </si>
  <si>
    <t>F4.H</t>
  </si>
  <si>
    <t>F6.1</t>
  </si>
  <si>
    <t>Replanteo ejes muros P2 — verificación plomada de muros P1</t>
  </si>
  <si>
    <t>F6.2</t>
  </si>
  <si>
    <t>Habilitado y armado de refuerzo vertical muros P2 (traslapes con esperas P1)</t>
  </si>
  <si>
    <t>F6.3</t>
  </si>
  <si>
    <t>Instalación redes hidrosanitarias, gas y eléctricas embebidas en muros P2</t>
  </si>
  <si>
    <t>F6.4</t>
  </si>
  <si>
    <t>Revisión pre-encofrado interventoría: refuerzo, recubrimientos, redes</t>
  </si>
  <si>
    <t>NSR-10 C.7.4 | ✓doble malla ✓recubrimiento ✓bastones arranque ✓redes sujetas | Sin acta NO encofrar</t>
  </si>
  <si>
    <t>F6.5</t>
  </si>
  <si>
    <t>Aplicación aceite desmoldante y montaje formaleta FORSA muros P2 — plomada y arriostramiento</t>
  </si>
  <si>
    <t>FORSA modular | Aceite desmoldante uniforme | Aplome: ±3mm | Pie de amigo c/1.0m | Cerrar sin pellizcar ductos</t>
  </si>
  <si>
    <t>F6.6</t>
  </si>
  <si>
    <t>Montaje formaleta de losa P2 — puntales, fondos y vigas sopor</t>
  </si>
  <si>
    <t>F6.7</t>
  </si>
  <si>
    <t>Armado refuerzo losa P2 — malla superior e inferior</t>
  </si>
  <si>
    <t>F6.8</t>
  </si>
  <si>
    <t>Instalación redes eléctricas e hidrosanitarias embebidas en losa P2</t>
  </si>
  <si>
    <t>Conduits eléctricos + bajantes HS embebidas en losa antes de vaciar</t>
  </si>
  <si>
    <t>F6.9</t>
  </si>
  <si>
    <t>Revisión pre-vaciado interventoría: losa, redes, puntales, formaleta — ACTA</t>
  </si>
  <si>
    <t>NSR-10 C.7.4 | ✓Malla doble ✓Recubrimiento 3cm ✓Bastones apoyo ✓Ductos posición ✓Puntales nivelados | Sin acta NO se vacía</t>
  </si>
  <si>
    <t>F5.8</t>
  </si>
  <si>
    <t>F6.10</t>
  </si>
  <si>
    <t>Vaciado monolítico muros P2 (f'c=21MPa) + losa P2 (f'c=21MPa) — bomba — vibración sistemática c/30cm</t>
  </si>
  <si>
    <t>★ MUROS f'c=21MPa (NO 28MPa) | ★ LOSA f'c=21MPa (NO 28MPa) | Capas ≤30cm | Vibrador Ø1.5" | T≤35°C</t>
  </si>
  <si>
    <t>F5.9</t>
  </si>
  <si>
    <t>F6.11</t>
  </si>
  <si>
    <t>Toma de cilindros (mín. 4 unidades) — envío laboratorio</t>
  </si>
  <si>
    <t>4 cilindros por vaciado: 2 para 7d + 2 para 28d | Laboratorio ONAC</t>
  </si>
  <si>
    <t>F5.10</t>
  </si>
  <si>
    <t>F6.12</t>
  </si>
  <si>
    <t>Curado húmedo muros y losa P2 (mín. 7 días)</t>
  </si>
  <si>
    <t>Curador acrílico inmediatamente post-vaciado | Plástico húmedo 7 días | Temperatura mín. 10°C</t>
  </si>
  <si>
    <t>F6.13</t>
  </si>
  <si>
    <t>Desencofrado muros (24h mín.) y losa P2 (70% resistencia certificada)</t>
  </si>
  <si>
    <t>★ PUNTALES LOSA: mínimo 21 días (ACI 347.2R) | Desencofre muros: 16h mín. T&gt;20°C | Cangrejeras: picar + mortero reparador</t>
  </si>
  <si>
    <t>F5.12</t>
  </si>
  <si>
    <t>F6.14</t>
  </si>
  <si>
    <t>Inspección: cangrejeras, plomada, nivelación losa, cotas — acta post-desencofrado</t>
  </si>
  <si>
    <t>Verificar: cangrejeras reparadas | Plomada muros ±3mm | Nivelación losa ±5mm | Cotas diseño</t>
  </si>
  <si>
    <t>F5.13</t>
  </si>
  <si>
    <t>F6.15</t>
  </si>
  <si>
    <t>Construcción escalera P1→P2 y barandas metdlicas provisionales</t>
  </si>
  <si>
    <t>Escalera: Garganta t=12cm | Acero: #3@150mm long | f'c=21MPa | Baranda provisional h=1.0m</t>
  </si>
  <si>
    <t>⚑ H-F6</t>
  </si>
  <si>
    <t>HITO: Piso 2 vaciado, curado, desencofrado y aprobado por interventoría</t>
  </si>
  <si>
    <t>F5.15</t>
  </si>
  <si>
    <t>OG2</t>
  </si>
  <si>
    <t>OBRA GRIS P2: MAMPOSTERÍA + COLUMNETAS + DINTELES + RESANES | Inicia tras H-F9 (Estructura P5) | PARALELO</t>
  </si>
  <si>
    <t>◄► PARALELO CON F10 (Estructura P6) — Inicia tras H-F9 (Estructura P5) — colchón 3 pisos — cuadrilla mampostería independiente de FORSA</t>
  </si>
  <si>
    <t>OG2.1</t>
  </si>
  <si>
    <t>Replanteo muros divisorios y mampostería P2 según planos — trazado en losa con nivel láser</t>
  </si>
  <si>
    <t>OG2.2</t>
  </si>
  <si>
    <t>Construcción de muros divisorios interiores P2 en bloque o ladrillo — hiladas a plomada y nivel, juntas 1cm</t>
  </si>
  <si>
    <t>Mortero 1:4 | Junta 1cm uniforme | Plomada c/3 hiladas | Humedecer bloque 30min antes | Separación junta 1cm de muros estructurales</t>
  </si>
  <si>
    <t>OG2.3</t>
  </si>
  <si>
    <t>Columnetas de confinamiento P2: habilitado de hierro, formaleta y vaciado — amarre con mampostería NSR-10</t>
  </si>
  <si>
    <t>0.10×0.10m mín | 4#3 + estribos #2@20cm | Concreto f'c=21MPa | Amarre con mampostería NSR-10 E.3.5</t>
  </si>
  <si>
    <t>OG2.4</t>
  </si>
  <si>
    <t>Dinteles en vanos P2: habilitado, formaleta, vaciado f'c=21 MPa — curado 3 días</t>
  </si>
  <si>
    <t>Dintel: ancho vano + 30cm apoyo c/lado | #3 longitudinal + estribos | Curado 3 días | f'c=21MPa</t>
  </si>
  <si>
    <t>OG2.5</t>
  </si>
  <si>
    <t>Resane de muros P2: cangrejeras, huecos de puntales, juntas — mortero 1:2</t>
  </si>
  <si>
    <t>Mortero resane 1:2 | Picar antes de aplicar | Humedecer superficie</t>
  </si>
  <si>
    <t>OG2.6</t>
  </si>
  <si>
    <t>Resane de placas P2: huecos de instalaciones, irregularidades — mortero de cemento</t>
  </si>
  <si>
    <t>Mortero cemento-arena 1:2 | Nivel laser: planeidad ≤5mm/2m | Revisar huecos conduits</t>
  </si>
  <si>
    <t>OG2.7</t>
  </si>
  <si>
    <t>Inspección obra gris P2: plomada muros, verticalidad columnetas, resanes — acta interventoría</t>
  </si>
  <si>
    <t>Verificar: plomada muros ±5mm | Columnetas verticalidad ±3mm | Dinteles sin fisuras | Acta firmada</t>
  </si>
  <si>
    <t>⚑ H-OG2</t>
  </si>
  <si>
    <t>OG2.H</t>
  </si>
  <si>
    <t>HITO: Obra gris P2 completa — mampostería, columnetas, dinteles vaciados y resanes terminados</t>
  </si>
  <si>
    <t>F7</t>
  </si>
  <si>
    <t>FASE 7 — ESTRUCTURA PISO 3: MUROS f'c=21MPa + PLACA f'c=21MPa | FORMALETA FORSA/UNISPAN | Ciclo 18 días</t>
  </si>
  <si>
    <t>▶ RUTA CRÍTICA — Ciclo FORSA/UNISPAN | INICIO: tras H-F6 (P2 aprobado)</t>
  </si>
  <si>
    <t>F5.H</t>
  </si>
  <si>
    <t>F7.1</t>
  </si>
  <si>
    <t>Replanteo ejes muros P3 — verificación plomada y cotas</t>
  </si>
  <si>
    <t>Tolerancia ±3mm | Plomada láser | Verificar verticalidad acumulada máx H/500 NSR-10</t>
  </si>
  <si>
    <t>F7.2</t>
  </si>
  <si>
    <t>Habilitado y armado de refuerzo vertical muros P3 (traslapes con esperas P2)</t>
  </si>
  <si>
    <t>NSR-10 C.14 | Doble malla #3@200mm | Bastones arranque losa doblados 90° | Traslapes mín. 40Ø | Separadores plásticos</t>
  </si>
  <si>
    <t>F7.3</t>
  </si>
  <si>
    <t>Instalación redes embebidas muros P3</t>
  </si>
  <si>
    <t>Gas: RETTIG amarilla 1/2" (NO PVC negro) | Conduits eléctricos PVC 1/2"-3/4" | Tapones extremos</t>
  </si>
  <si>
    <t>F7.4</t>
  </si>
  <si>
    <t>Revisión pre-encofrado interventoría P3 — acta de aprobación</t>
  </si>
  <si>
    <t>F7.5</t>
  </si>
  <si>
    <t>Montaje formaleta FORSA muros P3: plomada ±3mm + arriostramiento c/1.0m | Losa P3: puntales metálicos c/1.0m + tablero triplex 18mm</t>
  </si>
  <si>
    <t>FORSA modular | Aceite desmoldante uniforme | ★ PUNTALES MÍNIMO 21 DÍAS (ACI 347.2R) | Nivel láser ±2mm</t>
  </si>
  <si>
    <t>F7.6</t>
  </si>
  <si>
    <t>Armado refuerzo losa P3 e instalación redes embebidas</t>
  </si>
  <si>
    <t>Malla doble #3@200mm | Recubrimiento 3cm | Bastones perimetrales | Conduits + bajantes HS antes de vaciar</t>
  </si>
  <si>
    <t>Fierrero / Electricista</t>
  </si>
  <si>
    <t>F7.7</t>
  </si>
  <si>
    <t>Revisión pre-vaciado interventoría P3 — ACTA</t>
  </si>
  <si>
    <t>NSR-10 C.7.4 | ✓Malla doble ✓Recubrimiento 3cm ✓Bastones ✓Ductos ✓Puntales nivelados | Sin acta NO se vacía</t>
  </si>
  <si>
    <t>F7.8</t>
  </si>
  <si>
    <t>Vaciado monolítico muros P3 (f'c=21MPa) + losa P3 (f'c=21MPa) — bomba — vibración sistemática + toma cilindros</t>
  </si>
  <si>
    <t>★ MUROS f'c=21MPa | ★ LOSA f'c=21MPa (NO 28MPa) | Capas ≤30cm | T≤35°C | 4 cilindros: 2×7d + 2×28d</t>
  </si>
  <si>
    <t>Concretero / Laboratorio</t>
  </si>
  <si>
    <t>F7.9</t>
  </si>
  <si>
    <t>Curado húmedo 7d + desencofrado muros P3 (16h mín.) y losa P3 (puntales 21d) + inspección post-desencofrado + escalera P2→P3</t>
  </si>
  <si>
    <t>Curador acrílico inmediato | ★ Puntales losa: 21 días mínimo (ACI 347.2R) | Verificar cilindros 7d ≥80% f'c | Escalera baranda provisional h=1.0m</t>
  </si>
  <si>
    <t>F7.10</t>
  </si>
  <si>
    <t>Inspección post-desencofrado P3 + escalera P2→P3</t>
  </si>
  <si>
    <t>⚑ H-F7</t>
  </si>
  <si>
    <t>HITO: Piso 3 terminado y aprobado por interventoría</t>
  </si>
  <si>
    <t>OG3</t>
  </si>
  <si>
    <t>OBRA GRIS P3: MAMPOSTERÍA + COLUMNETAS + DINTELES + RESANES | Inicia tras H-F10 (Estructura P6) | PARALELO</t>
  </si>
  <si>
    <t>◄► PARALELO CON F11 (Estructura P7) — Inicia tras H-F10 (Estructura P6) — colchón 3 pisos — cuadrilla mampostería independiente de FORSA</t>
  </si>
  <si>
    <t>OG3.1</t>
  </si>
  <si>
    <t>Replanteo muros divisorios y mampostería P3 según planos — trazado en losa con nivel láser</t>
  </si>
  <si>
    <t>OG3.2</t>
  </si>
  <si>
    <t>Construcción de muros divisorios interiores P3 en bloque o ladrillo — hiladas a plomada y nivel, juntas 1cm</t>
  </si>
  <si>
    <t>Mortero 1:4 | Junta 1cm uniforme | Plomada c/3 hiladas | Humedecer bloque 30min antes</t>
  </si>
  <si>
    <t>OG3.3</t>
  </si>
  <si>
    <t>Columnetas de confinamiento P3: habilitado de hierro, formaleta y vaciado — amarre con mampostería NSR-10</t>
  </si>
  <si>
    <t>0.10×0.10m mín | 4#3 + estribos #2@20cm | f'c=21MPa | Amarre NSR-10 E.3.5</t>
  </si>
  <si>
    <t>OG3.4</t>
  </si>
  <si>
    <t>Dinteles en vanos P3: habilitado, formaleta, vaciado f'c=21 MPa — curado 3 días</t>
  </si>
  <si>
    <t>Dintel: ancho vano + 30cm apoyo c/lado | #3 longitudinal | Curado 3 días | f'c=21MPa</t>
  </si>
  <si>
    <t>OG3.5</t>
  </si>
  <si>
    <t>Resane de muros P3: cangrejeras, huecos de puntales, juntas — mortero 1:2</t>
  </si>
  <si>
    <t>Mortero resane 1:2 | Picar + humedecer antes de aplicar</t>
  </si>
  <si>
    <t>OG3.6</t>
  </si>
  <si>
    <t>Resane de placas P3: huecos de instalaciones, irregularidades — mortero de cemento</t>
  </si>
  <si>
    <t>Mortero cemento-arena 1:2 | Nivel laser: planeidad ≤5mm/2m</t>
  </si>
  <si>
    <t>OG3.7</t>
  </si>
  <si>
    <t>Inspección obra gris P3: plomada muros, verticalidad columnetas, resanes — acta interventoría</t>
  </si>
  <si>
    <t>⚑ H-OG3</t>
  </si>
  <si>
    <t>OG3.H</t>
  </si>
  <si>
    <t>HITO: Obra gris P3 completa — mampostería, columnetas, dinteles vaciados y resanes terminados</t>
  </si>
  <si>
    <t>F8</t>
  </si>
  <si>
    <t>FASE 8 — ESTRUCTURA PISO 4: MUROS f'c=21MPa + PLACA f'c=21MPa | FORMALETA FORSA/UNISPAN | Ciclo 18 días</t>
  </si>
  <si>
    <t>▶ RUTA CRÍTICA — Ciclo FORSA/UNISPAN | INICIO: tras H-F7 (P3 aprobado)</t>
  </si>
  <si>
    <t>F6.H</t>
  </si>
  <si>
    <t>F8.1</t>
  </si>
  <si>
    <t>Replanteo ejes muros P4 — verificación plomada y cotas</t>
  </si>
  <si>
    <t>F8.2</t>
  </si>
  <si>
    <t>Habilitado y armado de refuerzo vertical muros P4</t>
  </si>
  <si>
    <t>NSR-10 C.14 | Doble malla #3@200mm | Bastones arranque losa 90° | Traslapes mín. 40Ø</t>
  </si>
  <si>
    <t>F8.3</t>
  </si>
  <si>
    <t>Instalación redes embebidas muros P4</t>
  </si>
  <si>
    <t>Gas: RETTIG amarilla 1/2" | Conduits PVC 1/2"-3/4" | Tapones extremos | Fijación c/60cm</t>
  </si>
  <si>
    <t>F8.4</t>
  </si>
  <si>
    <t>Revisión pre-encofrado interventoría P4 — acta</t>
  </si>
  <si>
    <t>NSR-10 C.7.4 | ✓doble malla ✓recubrimiento ✓bastones ✓redes | Sin acta NO encofrar</t>
  </si>
  <si>
    <t>F8.5</t>
  </si>
  <si>
    <t>Montaje formaleta FORSA muros + losa P4: plomada ±3mm + puntales metálicos c/1.0m + tablero triplex 18mm</t>
  </si>
  <si>
    <t>F8.6</t>
  </si>
  <si>
    <t>Armado refuerzo losa P4 e instalación redes embebidas</t>
  </si>
  <si>
    <t>Malla doble #3@200mm | Recubrimiento 3cm | Bastones perimetrales en apoyos | Conduits + bajantes HS</t>
  </si>
  <si>
    <t>F8.7</t>
  </si>
  <si>
    <t>Revisión pre-vaciado interventoría P4 — ACTA</t>
  </si>
  <si>
    <t>NSR-10 C.7.4 | ✓Malla ✓Recubrimiento ✓Bastones ✓Ductos ✓Puntales nivelados | Sin acta NO se vacía</t>
  </si>
  <si>
    <t>F8.8</t>
  </si>
  <si>
    <t>Vaciado monolítico muros P4 (f'c=21MPa) + losa P4 (f'c=21MPa) — bomba — vibración + toma cilindros</t>
  </si>
  <si>
    <t>F8.9</t>
  </si>
  <si>
    <t>Curado húmedo 7d + desencofrado muros P4 (16h mín.) y losa P4 (puntales 21d) + inspección + escalera P3→P4</t>
  </si>
  <si>
    <t>Curador acrílico inmediato | ★ Puntales losa 21 días (ACI 347.2R) | Cilindros 7d ≥80% f'c | Baranda provisional h=1.0m</t>
  </si>
  <si>
    <t>F8.10</t>
  </si>
  <si>
    <t>Inspección post-desencofrado P4 + escalera P3→P4</t>
  </si>
  <si>
    <t>Verificar: cangrejeras reparadas | Plomada muros ±3mm | Nivelación losa ±5mm | Bastones arranque libres</t>
  </si>
  <si>
    <t>⚑ H-F8</t>
  </si>
  <si>
    <t>HITO: Piso 4 terminado y aprobado</t>
  </si>
  <si>
    <t>OG4</t>
  </si>
  <si>
    <t>OBRA GRIS P4: MAMPOSTERÍA + COLUMNETAS + DINTELES + RESANES | Inicia tras H-F11 (Estructura P7) | PARALELO</t>
  </si>
  <si>
    <t>◄► PARALELO CON F11b (Estructura P8) — Inicia tras H-F11 (Estructura P7) — colchón 3 pisos — cuadrilla mampostería independiente de FORSA</t>
  </si>
  <si>
    <t>OG4.1</t>
  </si>
  <si>
    <t>Replanteo muros divisorios y mampostería P4 según planos — trazado en losa con nivel láser</t>
  </si>
  <si>
    <t>Planos arq. aprobados | Nivel láser | Trazado con cordel</t>
  </si>
  <si>
    <t>OG4.2</t>
  </si>
  <si>
    <t>Construcción de muros divisorios interiores P4 en bloque o ladrillo — hiladas a plomada y nivel, juntas 1cm</t>
  </si>
  <si>
    <t>Mortero 1:4 | Junta 1cm | Plomada c/3 hiladas | Humedecer bloque 30min</t>
  </si>
  <si>
    <t>OG4.3</t>
  </si>
  <si>
    <t>Columnetas de confinamiento P4: habilitado de hierro, formaleta y vaciado — amarre con mampostería NSR-10</t>
  </si>
  <si>
    <t>OG4.4</t>
  </si>
  <si>
    <t>Dinteles en vanos P4: habilitado, formaleta, vaciado f'c=21 MPa — curado 3 días</t>
  </si>
  <si>
    <t>Dintel: ancho vano + 30cm apoyo c/lado | Curado 3 días | f'c=21MPa</t>
  </si>
  <si>
    <t>OG4.5</t>
  </si>
  <si>
    <t>Resane de muros P4: cangrejeras, huecos de puntales, juntas — mortero 1:2</t>
  </si>
  <si>
    <t>OG4.6</t>
  </si>
  <si>
    <t>Resane de placas P4: huecos de instalaciones, irregularidades — mortero de cemento</t>
  </si>
  <si>
    <t>OG4.7</t>
  </si>
  <si>
    <t>Inspección obra gris P4: plomada muros, verticalidad columnetas, resanes — acta interventoría</t>
  </si>
  <si>
    <t>Verificar: plomada muros ±5mm | Columnetas ±3mm | Dinteles sin fisuras | Acta firmada</t>
  </si>
  <si>
    <t>⚑ H-OG4</t>
  </si>
  <si>
    <t>OG4.H</t>
  </si>
  <si>
    <t>HITO: Obra gris P4 completa — mampostería, columnetas, dinteles vaciados y resanes terminados</t>
  </si>
  <si>
    <t>F9</t>
  </si>
  <si>
    <t>FASE 9 — ESTRUCTURA PISO 5: MUROS f'c=21MPa + PLACA f'c=21MPa | FORMALETA FORSA/UNISPAN | Ciclo 18 días</t>
  </si>
  <si>
    <t>▶ RUTA CRÍTICA — Ciclo FORSA/UNISPAN | INICIO: tras H-F8 (P4 aprobado)</t>
  </si>
  <si>
    <t>F7.H</t>
  </si>
  <si>
    <t>F9.1</t>
  </si>
  <si>
    <t>Replanteo, refuerzo vertical muros P5, redes embebidas</t>
  </si>
  <si>
    <t>Tolerancia ±3mm | Plomada láser | Redes embebidas RETTIG + PVC + conduits | Doble malla #3@200mm</t>
  </si>
  <si>
    <t>Fierrero / Inst.</t>
  </si>
  <si>
    <t>F9.2</t>
  </si>
  <si>
    <t>Revisión pre-encofrado interventoría P5 — acta</t>
  </si>
  <si>
    <t>F9.3</t>
  </si>
  <si>
    <t>Montaje formaleta FORSA muros y losa P5 — fondos, puntales, plomada</t>
  </si>
  <si>
    <t>★ PUNTALES MÍNIMO 21 DÍAS (ACI 347.2R) | Nivel láser ±2mm | Aceite desmoldante uniforme</t>
  </si>
  <si>
    <t>F9.4</t>
  </si>
  <si>
    <t>Armado refuerzo losa P5 + redes embebidas</t>
  </si>
  <si>
    <t>Malla doble #3@200mm | Recubrimiento 3cm | Bastones perimetrales | Conduits + bajantes HS</t>
  </si>
  <si>
    <t>F9.5</t>
  </si>
  <si>
    <t>Revisión pre-vaciado interventoría P5 — ACTA</t>
  </si>
  <si>
    <t>F9.6</t>
  </si>
  <si>
    <t>Vaciado monolítico muros P5 (f'c=21MPa) + losa P5 (f'c=21MPa) — bomba — vibración + toma cilindros</t>
  </si>
  <si>
    <t>★ MUROS f'c=21MPa | ★ LOSA f'c=21MPa (NO 28MPa) | Capas ≤30cm | T≤35°C | 4 cilindros ONAC</t>
  </si>
  <si>
    <t>F9.7</t>
  </si>
  <si>
    <t>Curado húmedo 7d + desencofrado muros P5 (16h mín.) y losa P5 (puntales 21d) + inspección post-desencofrado</t>
  </si>
  <si>
    <t>9d</t>
  </si>
  <si>
    <t>Curador acrílico inmediato | ★ Puntales losa 21 días (ACI 347.2R) | Cilindros 7d ≥80% f'c | Cangrejeras: picar + mortero</t>
  </si>
  <si>
    <t>F9.8</t>
  </si>
  <si>
    <t>Escalera P4→P5 y barandas provisionales</t>
  </si>
  <si>
    <t>Escalera P4→P5: Garganta t=12cm | f'c=21MPa | Baranda provisional h=1.0m</t>
  </si>
  <si>
    <t>⚑ H-F9</t>
  </si>
  <si>
    <t>HITO: Piso 5 terminado y aprobado</t>
  </si>
  <si>
    <t>OG5</t>
  </si>
  <si>
    <t>OBRA GRIS P5: MAMPOSTERÍA + COLUMNETAS + DINTELES + RESANES | Inicia tras H-F11b (Piso 8) | PARALELO</t>
  </si>
  <si>
    <t>◄► PARALELO CON F11c (Estructura P9) — Inicia tras H-F11b (P8 aprobado) — colchón 3 pisos — cuadrilla mampostería independiente de FORSA</t>
  </si>
  <si>
    <t>OG5.1</t>
  </si>
  <si>
    <t>Replanteo muros divisorios y mampostería P5 según planos — trazado en losa con nivel láser</t>
  </si>
  <si>
    <t>OG5.2</t>
  </si>
  <si>
    <t>Construcción de muros divisorios interiores P5 en bloque o ladrillo — hiladas a plomada y nivel, juntas 1cm</t>
  </si>
  <si>
    <t>OG5.3</t>
  </si>
  <si>
    <t>Columnetas de confinamiento P5: habilitado de hierro, formaleta y vaciado — amarre con mampostería NSR-10</t>
  </si>
  <si>
    <t>OG5.4</t>
  </si>
  <si>
    <t>Dinteles en vanos P5: habilitado, formaleta, vaciado f'c=21 MPa — curado 3 días</t>
  </si>
  <si>
    <t>OG5.5</t>
  </si>
  <si>
    <t>Resane de muros P5: cangrejeras, huecos de puntales, juntas — mortero 1:2</t>
  </si>
  <si>
    <t>OG5.6</t>
  </si>
  <si>
    <t>Resane de placas P5: huecos de instalaciones, irregularidades — mortero de cemento</t>
  </si>
  <si>
    <t>OG5.7</t>
  </si>
  <si>
    <t>Inspección obra gris P5: plomada muros, verticalidad columnetas, resanes — acta interventoría</t>
  </si>
  <si>
    <t>⚑ H-OG5</t>
  </si>
  <si>
    <t>OG5.H</t>
  </si>
  <si>
    <t>HITO: Obra gris P5 completa — mampostería, columnetas, dinteles vaciados y resanes terminados</t>
  </si>
  <si>
    <t>F10</t>
  </si>
  <si>
    <t>FASE 10 — ESTRUCTURA PISO 6: MUROS f'c=21MPa + PLACA f'c=21MPa | FORMALETA FORSA/UNISPAN | Ciclo 18 días</t>
  </si>
  <si>
    <t>▶ RUTA CRÍTICA — Ciclo FORSA/UNISPAN | INICIO: tras H-F9 (P5 aprobado)</t>
  </si>
  <si>
    <t>F8.H</t>
  </si>
  <si>
    <t>F10.1</t>
  </si>
  <si>
    <t>Replanteo, refuerzo vertical muros P6, redes embebidas</t>
  </si>
  <si>
    <t>F10.2</t>
  </si>
  <si>
    <t>Revisión pre-encofrado interventoría P6 — acta</t>
  </si>
  <si>
    <t>F10.3</t>
  </si>
  <si>
    <t>Montaje formaleta FORSA muros y losa P6 — fondos, puntales, plomada</t>
  </si>
  <si>
    <t>F10.4</t>
  </si>
  <si>
    <t>Armado refuerzo losa P6 + redes embebidas</t>
  </si>
  <si>
    <t>F10.5</t>
  </si>
  <si>
    <t>Revisión pre-vaciado interventoría P6 — ACTA</t>
  </si>
  <si>
    <t>F10.6</t>
  </si>
  <si>
    <t>Vaciado monolítico muros P6 (f'c=21MPa) + losa P6 (f'c=21MPa) — bomba — vibración + toma cilindros</t>
  </si>
  <si>
    <t>F10.7</t>
  </si>
  <si>
    <t>Curado húmedo 7d + desencofrado muros P6 (16h mín.) y losa P6 (puntales 21d) + inspección + escalera P5→P6</t>
  </si>
  <si>
    <t>F10.8</t>
  </si>
  <si>
    <t>Escalera P5→P6 y barandas provisionales</t>
  </si>
  <si>
    <t>Escalera P5→P6: Garganta t=12cm | f'c=21MPa | Baranda provisional h=1.0m</t>
  </si>
  <si>
    <t>⚑ H-F10</t>
  </si>
  <si>
    <t>HITO: Piso 6 terminado y aprobado</t>
  </si>
  <si>
    <t>OG6</t>
  </si>
  <si>
    <t>OBRA GRIS P6: MAMPOSTERÍA + COLUMNETAS + DINTELES + RESANES | Inicia tras H-F11c (Piso 9) | PARALELO</t>
  </si>
  <si>
    <t>◄► PARALELO CON F11d (Estructura P10) — Inicia tras H-F11c (P9 aprobado) — colchón 3 pisos — cuadrilla mampostería independiente de FORSA</t>
  </si>
  <si>
    <t>OG6.1</t>
  </si>
  <si>
    <t>Replanteo muros divisorios y mampostería P6 según planos — trazado en losa con nivel láser</t>
  </si>
  <si>
    <t>OG6.2</t>
  </si>
  <si>
    <t>Construcción de muros divisorios interiores P6 en bloque o ladrillo — hiladas a plomada y nivel, juntas 1cm</t>
  </si>
  <si>
    <t>OG6.3</t>
  </si>
  <si>
    <t>Columnetas de confinamiento P6: habilitado de hierro, formaleta y vaciado — amarre con mampostería NSR-10</t>
  </si>
  <si>
    <t>OG6.4</t>
  </si>
  <si>
    <t>Dinteles en vanos P6: habilitado, formaleta, vaciado f'c=21 MPa — curado 3 días</t>
  </si>
  <si>
    <t>OG6.5</t>
  </si>
  <si>
    <t>Resane de muros P6: cangrejeras, huecos de puntales, juntas — mortero 1:2</t>
  </si>
  <si>
    <t>OG6.6</t>
  </si>
  <si>
    <t>Resane de placas P6: huecos de instalaciones, irregularidades — mortero de cemento</t>
  </si>
  <si>
    <t>OG6.7</t>
  </si>
  <si>
    <t>Inspección obra gris P6: plomada muros, verticalidad columnetas, resanes — acta interventoría</t>
  </si>
  <si>
    <t>⚑ H-OG6</t>
  </si>
  <si>
    <t>OG6.H</t>
  </si>
  <si>
    <t>HITO: Obra gris P6 completa — mampostería, columnetas, dinteles vaciados y resanes terminados</t>
  </si>
  <si>
    <t>F11</t>
  </si>
  <si>
    <t>FASE 11 — ESTRUCTURA PISO 7: MUROS f'c=21MPa + PLACA f'c=21MPa | FORMALETA FORSA/UNISPAN | Ciclo 18 días</t>
  </si>
  <si>
    <t>▶ RUTA CRÍTICA — Ciclo FORSA/UNISPAN | INICIO: tras H-F10 (P6 aprobado)</t>
  </si>
  <si>
    <t>F9.H</t>
  </si>
  <si>
    <t>F11.1</t>
  </si>
  <si>
    <t>Replanteo ejes muros P7 — verificación plomada y cotas</t>
  </si>
  <si>
    <t>F11.2</t>
  </si>
  <si>
    <t>Revisión pre-encofrado interventoría P7 — acta</t>
  </si>
  <si>
    <t>F11.3</t>
  </si>
  <si>
    <t>Montaje formaleta FORSA muros y losa P7 — fondos, puntales, plomada</t>
  </si>
  <si>
    <t>F11.4</t>
  </si>
  <si>
    <t>Armado refuerzo losa P7 + redes embebidas</t>
  </si>
  <si>
    <t>F11.5</t>
  </si>
  <si>
    <t>Revisión pre-vaciado interventoría P7 — ACTA</t>
  </si>
  <si>
    <t>F11.6</t>
  </si>
  <si>
    <t>Vaciado monolítico muros P7 (f'c=21MPa) + losa P7 (f'c=21MPa) — bomba — vibración + toma cilindros</t>
  </si>
  <si>
    <t>F11.7</t>
  </si>
  <si>
    <t>Curado húmedo 7d + desencofrado muros P7 (16h mín.) y losa P7 (puntales 21d) + inspección + escalera P6→P7</t>
  </si>
  <si>
    <t>Curador acrílico inmediato | ★ Puntales losa 21 días (ACI 347.2R) | Cilindros 7d ≥80% f'c</t>
  </si>
  <si>
    <t>F11.8</t>
  </si>
  <si>
    <t>Escalera P6→P7 y barandas provisionales</t>
  </si>
  <si>
    <t>Escalera P6→P7: Garganta t=12cm | f'c=21MPa | Baranda provisional h=1.0m</t>
  </si>
  <si>
    <t>F11.9</t>
  </si>
  <si>
    <t>Verificación general de estructura: plomadas, cotas, escuadras, ausencia de cangrejeras</t>
  </si>
  <si>
    <t>Interventoría / Ing. Estructural</t>
  </si>
  <si>
    <t>⚑ H-F11</t>
  </si>
  <si>
    <t>HITO: Piso 7 terminado y aprobado por interventoría</t>
  </si>
  <si>
    <t>F10.9</t>
  </si>
  <si>
    <t>OG7</t>
  </si>
  <si>
    <t>OBRA GRIS P7: MAMPOSTERÍA + COLUMNETAS + DINTELES + RESANES | Inicia tras H-F11d (Piso 10) | PARALELO</t>
  </si>
  <si>
    <t>◄► PARALELO CON F11e (Estructura P11) — Inicia tras H-F11d (P10 aprobado) — colchón 3 pisos — cuadrilla mampostería independiente de FORSA</t>
  </si>
  <si>
    <t>OG7.1</t>
  </si>
  <si>
    <t>Replanteo muros divisorios y mampostería P7 según planos — trazado en losa con nivel láser</t>
  </si>
  <si>
    <t>OG7.2</t>
  </si>
  <si>
    <t>Construcción de muros divisorios interiores P7 en bloque o ladrillo — hiladas a plomada y nivel, juntas 1cm</t>
  </si>
  <si>
    <t>Mortero 1:4 | Junta 1cm | Plomada c/3 hiladas</t>
  </si>
  <si>
    <t>OG7.3</t>
  </si>
  <si>
    <t>Columnetas de confinamiento P7: habilitado de hierro, formaleta y vaciado — amarre con mampostería NSR-10</t>
  </si>
  <si>
    <t>OG7.4</t>
  </si>
  <si>
    <t>Dinteles en vanos P7: habilitado, formaleta, vaciado f'c=21 MPa — curado 3 días</t>
  </si>
  <si>
    <t>OG7.5</t>
  </si>
  <si>
    <t>Resane de muros P7: cangrejeras, huecos de puntales, juntas — mortero 1:2</t>
  </si>
  <si>
    <t>OG7.6</t>
  </si>
  <si>
    <t>Resane de placas P7: huecos de instalaciones, irregularidades — mortero de cemento</t>
  </si>
  <si>
    <t>OG7.7</t>
  </si>
  <si>
    <t>Inspección obra gris P7: plomada muros, verticalidad columnetas, resanes — acta interventoría</t>
  </si>
  <si>
    <t>⚑ H-OG7</t>
  </si>
  <si>
    <t>OG7.H</t>
  </si>
  <si>
    <t>HITO: Obra gris P7 completa — mampostería, columnetas, dinteles vaciados y resanes terminados</t>
  </si>
  <si>
    <t>F11b</t>
  </si>
  <si>
    <t>FASE 11b — ESTRUCTURA PISO 8: MUROS f'c=21MPa + PLACA f'c=21MPa | FORMALETA FORSA/UNISPAN | Ciclo 18 días</t>
  </si>
  <si>
    <t>▶ RUTA CRÍTICA — Ciclo FORSA/UNISPAN | INICIO: tras H-F11 (P7 aprobado)</t>
  </si>
  <si>
    <t>F10.H</t>
  </si>
  <si>
    <t>F11b.1</t>
  </si>
  <si>
    <t>Replanteo ejes muros P8 — verificación plomada y cotas</t>
  </si>
  <si>
    <t>F11b.2</t>
  </si>
  <si>
    <t>Habilitado y armado de refuerzo vertical muros P8 (traslapes con esperas P7)</t>
  </si>
  <si>
    <t>F10b.1</t>
  </si>
  <si>
    <t>F11b.3</t>
  </si>
  <si>
    <t>Instalación redes embebidas muros P8</t>
  </si>
  <si>
    <t>Gas: RETTIG amarilla 1/2" | Conduits PVC 1/2"-3/4" | Tapones extremos</t>
  </si>
  <si>
    <t>F10b.2</t>
  </si>
  <si>
    <t>F11b.4</t>
  </si>
  <si>
    <t>Revisión pre-encofrado interventoría P8 — acta</t>
  </si>
  <si>
    <t>F10b.3</t>
  </si>
  <si>
    <t>F11b.5</t>
  </si>
  <si>
    <t>Montaje formaleta FORSA muros + losa P8: plomada ±3mm + puntales metálicos c/1.0m + tablero triplex 18mm</t>
  </si>
  <si>
    <t>F10b.4</t>
  </si>
  <si>
    <t>F11b.6</t>
  </si>
  <si>
    <t>Armado refuerzo losa P8 + redes embebidas</t>
  </si>
  <si>
    <t>F10b.5</t>
  </si>
  <si>
    <t>F11b.7</t>
  </si>
  <si>
    <t>Revisión pre-vaciado interventoría P8 — ACTA</t>
  </si>
  <si>
    <t>F10b.6</t>
  </si>
  <si>
    <t>F11b.8</t>
  </si>
  <si>
    <t>Vaciado monolítico muros P8 (f'c=21MPa) + losa P8 (f'c=21MPa) — bomba — vibración + toma cilindros</t>
  </si>
  <si>
    <t>F10b.7</t>
  </si>
  <si>
    <t>F11b.9</t>
  </si>
  <si>
    <t>Curado húmedo 7d + desencofrado muros P8 (16h mín.) y losa P8 (puntales 21d) + inspección post-desencofrado</t>
  </si>
  <si>
    <t>F10b.8</t>
  </si>
  <si>
    <t>F11b.10</t>
  </si>
  <si>
    <t>Escalera P7→P8 y barandas provisionales</t>
  </si>
  <si>
    <t>Escalera P7→P8: Garganta t=12cm | f'c=21MPa | Baranda provisional h=1.0m</t>
  </si>
  <si>
    <t>F10b.9</t>
  </si>
  <si>
    <t>⚑ H-F11b</t>
  </si>
  <si>
    <t>HITO: Piso 8 terminado y aprobado por interventoría</t>
  </si>
  <si>
    <t>F10b.10</t>
  </si>
  <si>
    <t>OG8</t>
  </si>
  <si>
    <t>OBRA GRIS P8: MAMPOSTERÍA + COLUMNETAS + DINTELES + RESANES | Inicia tras H-F11e (Piso 11) | PARALELO</t>
  </si>
  <si>
    <t>◄► PARALELO CON F11f (Estructura P12) — Inicia tras H-F11e (P11 aprobado) — colchón 3 pisos — cuadrilla mampostería independiente de FORSA</t>
  </si>
  <si>
    <t>OG8.1</t>
  </si>
  <si>
    <t>Replanteo muros divisorios y mampostería P8 según planos — trazado en losa con nivel láser</t>
  </si>
  <si>
    <t>OG8.2</t>
  </si>
  <si>
    <t>Construcción de muros divisorios interiores P8 en bloque o ladrillo — hiladas a plomada y nivel, juntas 1cm</t>
  </si>
  <si>
    <t>OG8.3</t>
  </si>
  <si>
    <t>Columnetas de confinamiento P8: habilitado de hierro, formaleta y vaciado — amarre con mampostería NSR-10</t>
  </si>
  <si>
    <t>OG8.4</t>
  </si>
  <si>
    <t>Dinteles en vanos P8: habilitado, formaleta, vaciado f'c=21 MPa — curado 3 días</t>
  </si>
  <si>
    <t>OG8.5</t>
  </si>
  <si>
    <t>Resane de muros P8: cangrejeras, huecos de puntales, juntas — mortero 1:2</t>
  </si>
  <si>
    <t>OG8.6</t>
  </si>
  <si>
    <t>Resane de placas P8: huecos de instalaciones, irregularidades — mortero de cemento</t>
  </si>
  <si>
    <t>OG8.7</t>
  </si>
  <si>
    <t>Inspección obra gris P8: plomada muros, verticalidad columnetas, resanes — acta interventoría</t>
  </si>
  <si>
    <t>⚑ H-OG8</t>
  </si>
  <si>
    <t>OG8.H</t>
  </si>
  <si>
    <t>HITO: Obra gris P8 completa — mampostería, columnetas, dinteles vaciados y resanes terminados</t>
  </si>
  <si>
    <t>F11c</t>
  </si>
  <si>
    <t>FASE 11c — ESTRUCTURA PISO 9: MUROS f'c=21MPa + PLACA f'c=21MPa | FORMALETA FORSA/UNISPAN | Ciclo 18 días</t>
  </si>
  <si>
    <t>▶ RUTA CRÍTICA — Ciclo FORSA/UNISPAN | INICIO: tras H-F11b (P8 aprobado)</t>
  </si>
  <si>
    <t>F10b.H</t>
  </si>
  <si>
    <t>F11c.1</t>
  </si>
  <si>
    <t>Replanteo ejes muros P9 — verificación plomada y cotas</t>
  </si>
  <si>
    <t>F11c.2</t>
  </si>
  <si>
    <t>Habilitado y armado de refuerzo vertical muros P9 (traslapes con esperas P8)</t>
  </si>
  <si>
    <t>F10c.1</t>
  </si>
  <si>
    <t>F11c.3</t>
  </si>
  <si>
    <t>Instalación redes embebidas muros P9</t>
  </si>
  <si>
    <t>F10c.2</t>
  </si>
  <si>
    <t>F11c.4</t>
  </si>
  <si>
    <t>Revisión pre-encofrado interventoría P9 — acta</t>
  </si>
  <si>
    <t>F10c.3</t>
  </si>
  <si>
    <t>F11c.5</t>
  </si>
  <si>
    <t>Montaje formaleta FORSA muros + losa P9: plomada ±3mm + puntales metálicos c/1.0m + tablero triplex 18mm</t>
  </si>
  <si>
    <t>F10c.4</t>
  </si>
  <si>
    <t>F11c.6</t>
  </si>
  <si>
    <t>Armado refuerzo losa P9 + redes embebidas</t>
  </si>
  <si>
    <t>F10c.5</t>
  </si>
  <si>
    <t>F11c.7</t>
  </si>
  <si>
    <t>Revisión pre-vaciado interventoría P9 — ACTA</t>
  </si>
  <si>
    <t>F10c.6</t>
  </si>
  <si>
    <t>F11c.8</t>
  </si>
  <si>
    <t>Vaciado monolítico muros P9 (f'c=21MPa) + losa P9 (f'c=21MPa) — bomba — vibración + toma cilindros</t>
  </si>
  <si>
    <t>F10c.7</t>
  </si>
  <si>
    <t>F11c.9</t>
  </si>
  <si>
    <t>Curado húmedo 7d + desencofrado muros P9 (16h mín.) y losa P9 (puntales 21d) + inspección post-desencofrado</t>
  </si>
  <si>
    <t>F10c.8</t>
  </si>
  <si>
    <t>F11c.10</t>
  </si>
  <si>
    <t>Escalera P8→P9 y barandas provisionales</t>
  </si>
  <si>
    <t>Escalera P8→P9: Garganta t=12cm | f'c=21MPa | Baranda provisional h=1.0m</t>
  </si>
  <si>
    <t>F10c.9</t>
  </si>
  <si>
    <t>⚑ H-F11c</t>
  </si>
  <si>
    <t>HITO: Piso 9 terminado y aprobado por interventoría</t>
  </si>
  <si>
    <t>F10c.10</t>
  </si>
  <si>
    <t>OG9</t>
  </si>
  <si>
    <t>OBRA GRIS P9: MAMPOSTERÍA + COLUMNETAS + DINTELES + RESANES | Inicia tras H-F11f (Estructura completa) | SECUENCIAL</t>
  </si>
  <si>
    <t>▶ SECUENCIAL — Inicia tras H-F11f (Estructura completa P12 aprobada)</t>
  </si>
  <si>
    <t>OG9.1</t>
  </si>
  <si>
    <t>Replanteo muros divisorios y mampostería P9 según planos — trazado en losa con nivel láser</t>
  </si>
  <si>
    <t>OG9.2</t>
  </si>
  <si>
    <t>Construcción de muros divisorios interiores P9 en bloque o ladrillo — hiladas a plomada y nivel, juntas 1cm</t>
  </si>
  <si>
    <t>OG9.3</t>
  </si>
  <si>
    <t>Columnetas de confinamiento P9: habilitado de hierro, formaleta y vaciado — amarre con mampostería NSR-10</t>
  </si>
  <si>
    <t>OG9.4</t>
  </si>
  <si>
    <t>Dinteles en vanos P9: habilitado, formaleta, vaciado f'c=21 MPa — curado 3 días</t>
  </si>
  <si>
    <t>OG9.5</t>
  </si>
  <si>
    <t>Resane de muros P9: cangrejeras, huecos de puntales, juntas — mortero 1:2</t>
  </si>
  <si>
    <t>OG9.6</t>
  </si>
  <si>
    <t>Resane de placas P9: huecos de instalaciones, irregularidades — mortero de cemento</t>
  </si>
  <si>
    <t>OG9.7</t>
  </si>
  <si>
    <t>Inspección obra gris P9: plomada muros, verticalidad columnetas, resanes — acta interventoría</t>
  </si>
  <si>
    <t>⚑ H-OG9</t>
  </si>
  <si>
    <t>OG9.H</t>
  </si>
  <si>
    <t>HITO: Obra gris P9 completa — mampostería, columnetas, dinteles vaciados y resanes terminados</t>
  </si>
  <si>
    <t>F11d</t>
  </si>
  <si>
    <t>FASE 11d — ESTRUCTURA PISO 10: MUROS f'c=21MPa + PLACA f'c=21MPa | FORMALETA FORSA/UNISPAN | Ciclo 18 días</t>
  </si>
  <si>
    <t>▶ RUTA CRÍTICA — Ciclo FORSA/UNISPAN | INICIO: tras H-F11c (P9 aprobado)</t>
  </si>
  <si>
    <t>F10c.H</t>
  </si>
  <si>
    <t>F11d.1</t>
  </si>
  <si>
    <t>Replanteo ejes muros P10 — verificación plomada y cotas</t>
  </si>
  <si>
    <t>F11d.2</t>
  </si>
  <si>
    <t>Habilitado y armado de refuerzo vertical muros P10 (traslapes con esperas P9)</t>
  </si>
  <si>
    <t>F10d.1</t>
  </si>
  <si>
    <t>F11d.3</t>
  </si>
  <si>
    <t>Instalación redes embebidas muros P10</t>
  </si>
  <si>
    <t>F10d.2</t>
  </si>
  <si>
    <t>F11d.4</t>
  </si>
  <si>
    <t>Revisión pre-encofrado interventoría P10 — acta</t>
  </si>
  <si>
    <t>F10d.3</t>
  </si>
  <si>
    <t>F11d.5</t>
  </si>
  <si>
    <t>Montaje formaleta FORSA muros + losa P10: plomada ±3mm + puntales metálicos c/1.0m + tablero triplex 18mm</t>
  </si>
  <si>
    <t>F10d.4</t>
  </si>
  <si>
    <t>F11d.6</t>
  </si>
  <si>
    <t>Armado refuerzo losa P10 + redes embebidas</t>
  </si>
  <si>
    <t>F10d.5</t>
  </si>
  <si>
    <t>F11d.7</t>
  </si>
  <si>
    <t>Revisión pre-vaciado interventoría P10 — ACTA</t>
  </si>
  <si>
    <t>F10d.6</t>
  </si>
  <si>
    <t>F11d.8</t>
  </si>
  <si>
    <t>Vaciado monolítico muros P10 (f'c=21MPa) + losa P10 (f'c=21MPa) — bomba — vibración + toma cilindros</t>
  </si>
  <si>
    <t>F10d.7</t>
  </si>
  <si>
    <t>F11d.9</t>
  </si>
  <si>
    <t>Curado húmedo 7d + desencofrado muros P10 (16h mín.) y losa P10 (puntales 21d) + inspección post-desencofrado</t>
  </si>
  <si>
    <t>F10d.8</t>
  </si>
  <si>
    <t>F11d.10</t>
  </si>
  <si>
    <t>Escalera P9→P10 y barandas provisionales</t>
  </si>
  <si>
    <t>Escalera P9→P10: Garganta t=12cm | f'c=21MPa | Baranda provisional h=1.0m</t>
  </si>
  <si>
    <t>F10d.9</t>
  </si>
  <si>
    <t>⚑ H-F11d</t>
  </si>
  <si>
    <t>HITO: Piso 10 terminado y aprobado por interventoría</t>
  </si>
  <si>
    <t>F10d.10</t>
  </si>
  <si>
    <t>OG10</t>
  </si>
  <si>
    <t>OBRA GRIS P10: MAMPOSTERÍA + COLUMNETAS + DINTELES + RESANES | Inicia tras H-OG9 | SECUENCIAL</t>
  </si>
  <si>
    <t>▶ SECUENCIAL — Inicia tras H-OG9 aprobado</t>
  </si>
  <si>
    <t>OG10.1</t>
  </si>
  <si>
    <t>Replanteo muros divisorios y mampostería P10 según planos — trazado en losa con nivel láser</t>
  </si>
  <si>
    <t>OG10.2</t>
  </si>
  <si>
    <t>Construcción de muros divisorios interiores P10 en bloque o ladrillo — hiladas a plomada y nivel, juntas 1cm</t>
  </si>
  <si>
    <t>OG10.3</t>
  </si>
  <si>
    <t>Columnetas de confinamiento P10: habilitado de hierro, formaleta y vaciado — amarre con mampostería NSR-10</t>
  </si>
  <si>
    <t>OG10.4</t>
  </si>
  <si>
    <t>Dinteles en vanos P10: habilitado, formaleta, vaciado f'c=21 MPa — curado 3 días</t>
  </si>
  <si>
    <t>OG10.5</t>
  </si>
  <si>
    <t>Resane de muros P10: cangrejeras, huecos de puntales, juntas — mortero 1:2</t>
  </si>
  <si>
    <t>OG10.6</t>
  </si>
  <si>
    <t>Resane de placas P10: huecos de instalaciones, irregularidades — mortero de cemento</t>
  </si>
  <si>
    <t>OG10.7</t>
  </si>
  <si>
    <t>Inspección obra gris P10: plomada muros, verticalidad columnetas, resanes — acta interventoría</t>
  </si>
  <si>
    <t>⚑ H-OG10</t>
  </si>
  <si>
    <t>OG10.H</t>
  </si>
  <si>
    <t>HITO: Obra gris P10 completa — mampostería, columnetas, dinteles vaciados y resanes terminados</t>
  </si>
  <si>
    <t>F11e</t>
  </si>
  <si>
    <t>FASE 11e — ESTRUCTURA PISO 11: MUROS f'c=21MPa + PLACA f'c=21MPa | FORMALETA FORSA/UNISPAN | Ciclo 18 días</t>
  </si>
  <si>
    <t>▶ RUTA CRÍTICA — Ciclo FORSA/UNISPAN | INICIO: tras H-F11d (P10 aprobado)</t>
  </si>
  <si>
    <t>F10d.H</t>
  </si>
  <si>
    <t>F11e.1</t>
  </si>
  <si>
    <t>Replanteo ejes muros P11 — verificación plomada y cotas</t>
  </si>
  <si>
    <t>F11e.2</t>
  </si>
  <si>
    <t>Habilitado y armado de refuerzo vertical muros P11 (traslapes con esperas P10)</t>
  </si>
  <si>
    <t>F10e.1</t>
  </si>
  <si>
    <t>F11e.3</t>
  </si>
  <si>
    <t>Instalación redes embebidas muros P11</t>
  </si>
  <si>
    <t>F10e.2</t>
  </si>
  <si>
    <t>F11e.4</t>
  </si>
  <si>
    <t>Revisión pre-encofrado interventoría P11 — acta</t>
  </si>
  <si>
    <t>F10e.3</t>
  </si>
  <si>
    <t>F11e.5</t>
  </si>
  <si>
    <t>Montaje formaleta FORSA muros + losa P11: plomada ±3mm + puntales metálicos c/1.0m + tablero triplex 18mm</t>
  </si>
  <si>
    <t>F10e.4</t>
  </si>
  <si>
    <t>F11e.6</t>
  </si>
  <si>
    <t>Armado refuerzo losa P11 + redes embebidas</t>
  </si>
  <si>
    <t>F10e.5</t>
  </si>
  <si>
    <t>F11e.7</t>
  </si>
  <si>
    <t>Revisión pre-vaciado interventoría P11 — ACTA</t>
  </si>
  <si>
    <t>F10e.6</t>
  </si>
  <si>
    <t>F11e.8</t>
  </si>
  <si>
    <t>Vaciado monolítico muros P11 (f'c=21MPa) + losa P11 (f'c=21MPa) — bomba — vibración + toma cilindros</t>
  </si>
  <si>
    <t>F10e.7</t>
  </si>
  <si>
    <t>F11e.9</t>
  </si>
  <si>
    <t>Curado húmedo 7d + desencofrado muros P11 (16h mín.) y losa P11 (puntales 21d) + inspección post-desencofrado</t>
  </si>
  <si>
    <t>F10e.8</t>
  </si>
  <si>
    <t>F11e.10</t>
  </si>
  <si>
    <t>Escalera P10→P11 y barandas provisionales</t>
  </si>
  <si>
    <t>Escalera P10→P11: Garganta t=12cm | f'c=21MPa | Baranda provisional h=1.0m</t>
  </si>
  <si>
    <t>F10e.9</t>
  </si>
  <si>
    <t>⚑ H-F11e</t>
  </si>
  <si>
    <t>HITO: Piso 11 terminado y aprobado por interventoría</t>
  </si>
  <si>
    <t>F10e.10</t>
  </si>
  <si>
    <t>OG11</t>
  </si>
  <si>
    <t>OBRA GRIS P11: MAMPOSTERÍA + COLUMNETAS + DINTELES + RESANES | Inicia tras H-OG10 | SECUENCIAL</t>
  </si>
  <si>
    <t>▶ SECUENCIAL — Inicia tras H-OG10 aprobado</t>
  </si>
  <si>
    <t>OG11.1</t>
  </si>
  <si>
    <t>Replanteo muros divisorios y mampostería P11 según planos — trazado en losa con nivel láser</t>
  </si>
  <si>
    <t>OG11.2</t>
  </si>
  <si>
    <t>Construcción de muros divisorios interiores P11 en bloque o ladrillo — hiladas a plomada y nivel, juntas 1cm</t>
  </si>
  <si>
    <t>OG11.3</t>
  </si>
  <si>
    <t>Columnetas de confinamiento P11: habilitado de hierro, formaleta y vaciado — amarre con mampostería NSR-10</t>
  </si>
  <si>
    <t>OG11.4</t>
  </si>
  <si>
    <t>Dinteles en vanos P11: habilitado, formaleta, vaciado f'c=21 MPa — curado 3 días</t>
  </si>
  <si>
    <t>OG11.5</t>
  </si>
  <si>
    <t>Resane de muros P11: cangrejeras, huecos de puntales, juntas — mortero 1:2</t>
  </si>
  <si>
    <t>OG11.6</t>
  </si>
  <si>
    <t>Resane de placas P11: huecos de instalaciones, irregularidades — mortero de cemento</t>
  </si>
  <si>
    <t>OG11.7</t>
  </si>
  <si>
    <t>Inspección obra gris P11: plomada muros, verticalidad columnetas, resanes — acta interventoría</t>
  </si>
  <si>
    <t>⚑ H-OG11</t>
  </si>
  <si>
    <t>OG11.H</t>
  </si>
  <si>
    <t>HITO: Obra gris P11 completa — mampostería, columnetas, dinteles vaciados y resanes terminados</t>
  </si>
  <si>
    <t>F11f</t>
  </si>
  <si>
    <t>FASE 11f — ESTRUCTURA PISO 12 (NIVEL SUPERIOR): MUROS f'c=21MPa + PLACA CUBIERTA f'c=21MPa | FORMALETA FORSA/UNISPAN | Ciclo 18 días</t>
  </si>
  <si>
    <t>▶ RUTA CRÍTICA — Ciclo FORSA/UNISPAN | INICIO: tras H-F11e (P11 aprobado)</t>
  </si>
  <si>
    <t>F10e.H</t>
  </si>
  <si>
    <t>F11f.1</t>
  </si>
  <si>
    <t>Replanteo ejes muros P12 (nivel superior) — redes embebidas</t>
  </si>
  <si>
    <t>Tolerancia ±3mm | Redes embebidas | Losa cubierta: pendientes drenaje incluidas</t>
  </si>
  <si>
    <t>F11f.2</t>
  </si>
  <si>
    <t>Revisión pre-encofrado interventoría P12 — acta</t>
  </si>
  <si>
    <t>F10f.1</t>
  </si>
  <si>
    <t>F11f.3</t>
  </si>
  <si>
    <t>Montaje formaleta FORSA muros + losa cubierta P12: plomada ±3mm + puntales metálicos c/1.0m</t>
  </si>
  <si>
    <t>F10f.2</t>
  </si>
  <si>
    <t>F11f.4</t>
  </si>
  <si>
    <t>Armado refuerzo losa cubierta P12: malla doble Fy=420MPa + pendientes drenaje + redes embebidas losa</t>
  </si>
  <si>
    <t>Malla doble #3@200mm | Recubrimiento 3cm | Bastones perimetrales | Conduits + bajantes HS | Pendiente mín. 2% a desagües</t>
  </si>
  <si>
    <t>F10f.3</t>
  </si>
  <si>
    <t>F11f.5</t>
  </si>
  <si>
    <t>Revisión pre-vaciado interventoría P12 (losa de cubierta) — ACTA</t>
  </si>
  <si>
    <t>NSR-10 C.7.4 | ✓Malla ✓Recubrimiento ✓Bastones ✓Ductos ✓Puntales nivelados ✓Pendiente losa cubierta | Sin acta NO se vacía</t>
  </si>
  <si>
    <t>F10f.4</t>
  </si>
  <si>
    <t>F11f.6</t>
  </si>
  <si>
    <t>Vaciado monolítico muros P12 (f'c=21MPa) + losa cubierta P12 (f'c=21MPa) — bomba — vibración + cilindros</t>
  </si>
  <si>
    <t>★ MUROS f'c=21MPa | ★ LOSA CUBIERTA f'c=21MPa (NO 28MPa) | Capas ≤30cm | T≤35°C | 4 cilindros ONAC</t>
  </si>
  <si>
    <t>F10f.5</t>
  </si>
  <si>
    <t>F11f.7</t>
  </si>
  <si>
    <t>Curado húmedo 7d + desencofrado muros P12 (16h mín.) y losa cubierta (puntales 21d) + inspección</t>
  </si>
  <si>
    <t>F10f.6</t>
  </si>
  <si>
    <t>F11f.8</t>
  </si>
  <si>
    <t>Escalera P11→P12 / Rooftop y barandas metálicas definitivas</t>
  </si>
  <si>
    <t>Escalera P11→P12 / Rooftop | f'c=21MPa | Barandas metálicas definitivas h=1.10m</t>
  </si>
  <si>
    <t>F10f.7</t>
  </si>
  <si>
    <t>F11f.9</t>
  </si>
  <si>
    <t>Verificación general estructura: plomadas, cotas, escuadras, ausencia de cangrejeras | Informe final estructural</t>
  </si>
  <si>
    <t>F10f.8</t>
  </si>
  <si>
    <t>⚑ H-F11f</t>
  </si>
  <si>
    <t>HITO ★ ESTRUCTURA COMPLETA — Todos los pisos vaciados, curados y aprobados por interventoría | INICIO F12 CUBIERTA</t>
  </si>
  <si>
    <t>F10f.9</t>
  </si>
  <si>
    <t>Hito ★</t>
  </si>
  <si>
    <t>OG12</t>
  </si>
  <si>
    <t>OBRA GRIS P12: MAMPOSTERÍA + COLUMNETAS + DINTELES + RESANES | Inicia tras H-OG11 | SECUENCIAL</t>
  </si>
  <si>
    <t>▶ SECUENCIAL — Inicia tras H-OG11 aprobado</t>
  </si>
  <si>
    <t>OG12.1</t>
  </si>
  <si>
    <t>Replanteo muros divisorios y mampostería P12 según planos — trazado en losa con nivel láser</t>
  </si>
  <si>
    <t>OG12.2</t>
  </si>
  <si>
    <t>Construcción de muros divisorios interiores P12 en bloque o ladrillo — hiladas a plomada y nivel, juntas 1cm</t>
  </si>
  <si>
    <t>OG12.3</t>
  </si>
  <si>
    <t>Columnetas de confinamiento P12: habilitado de hierro, formaleta y vaciado — amarre con mampostería NSR-10</t>
  </si>
  <si>
    <t>OG12.4</t>
  </si>
  <si>
    <t>Dinteles en vanos P12: habilitado, formaleta, vaciado f'c=21 MPa — curado 3 días</t>
  </si>
  <si>
    <t>OG12.5</t>
  </si>
  <si>
    <t>Resane de muros P12: cangrejeras, huecos de puntales, juntas — mortero 1:2</t>
  </si>
  <si>
    <t>OG12.6</t>
  </si>
  <si>
    <t>Resane de placas P12: huecos de instalaciones, irregularidades — mortero de cemento</t>
  </si>
  <si>
    <t>OG12.7</t>
  </si>
  <si>
    <t>Inspección obra gris P12: plomada muros, verticalidad columnetas, resanes — acta interventoría</t>
  </si>
  <si>
    <t>Verificar: plomada muros ±5mm | Columnetas ±3mm | Dinteles sin fisuras | Acta firmada antes de acabados</t>
  </si>
  <si>
    <t>⚑ H-OG12</t>
  </si>
  <si>
    <t>OG12.H</t>
  </si>
  <si>
    <t>HITO: Obra gris P12 completa — mampostería, columnetas, dinteles vaciados y resanes terminados</t>
  </si>
  <si>
    <t>F12</t>
  </si>
  <si>
    <t>FASE 12 — CUBIERTA: ESTRUCTURA METÁLICA + TEJA TERMOAÚSTICA + IMPERMEABILIZACIÓN + PANELES SOLARES</t>
  </si>
  <si>
    <t>27d</t>
  </si>
  <si>
    <t>▶ RUTA CRÍTICA | Adelanto 13d — MEP inicia cuando cubierta impermeabilizada (día 12 de F12)</t>
  </si>
  <si>
    <t>F10f.H</t>
  </si>
  <si>
    <t>F12.1</t>
  </si>
  <si>
    <t>Limpieza y preparación de losa de cubierta P12 — retiro de residuos, picado de puntos altos y nivelación con mortero de pendientes (mín. 2%) hacia desagües</t>
  </si>
  <si>
    <t>Retiro de residuos | Picado de puntos altos | Mortero de pendientes mín. 2% hacia desagües | Nivel láser</t>
  </si>
  <si>
    <t>F12.2</t>
  </si>
  <si>
    <t>Construcción de muros cuchilla (muros de cierre y apoyo de cubierta) en mampostería o concreto según planos arquitectónicos — plomada y nivelación</t>
  </si>
  <si>
    <t>Muros cuchilla: mampostería o concreto según planos | Plomada y nivelación | Base para estructura metálica</t>
  </si>
  <si>
    <t>F12.3</t>
  </si>
  <si>
    <t>Fabricación e instalación de estructura metálica de cubierta (cerchas, correas, tensores) según diseño estructural — soldadura certificada y pintura anticorrosiva</t>
  </si>
  <si>
    <t>Cerchas + correas + tensores | Soldadura certificada | Pintura anticorrosiva epóxica 2 manos | Inspector SISO</t>
  </si>
  <si>
    <t>F12.4</t>
  </si>
  <si>
    <t>Instalación de teja termoaústica color verde (exterior) / blanco (interior) en áreas de cubierta inclinada según planos arquitectónicos — traslapes reglamentarios, tornillos y sellos</t>
  </si>
  <si>
    <t>Teja termoacústica color verde (exterior) / blanco (interior) | Traslapes reglamentarios | Tornillos autorroscantes + sello de silicona</t>
  </si>
  <si>
    <t>Impermeabilizador / Interventoría</t>
  </si>
  <si>
    <t>F12.5</t>
  </si>
  <si>
    <t>Cubierta bajo placa (terraza accesible): impermeabilización de losa con geomembrana PVC (garantía 10 años) — soldadura de traslapos en caliente — acabado concreto e=10cm a la vista sin remate</t>
  </si>
  <si>
    <t>Geomembrana PVC garantía 10 años | Soldadura de traslapes en caliente | Acabado concreto e=10cm a la vista</t>
  </si>
  <si>
    <t>Metalistá</t>
  </si>
  <si>
    <t>F12.6</t>
  </si>
  <si>
    <t>Prueba de inundación de terraza (48h) — verificación de estanqueidad total — acta firmada por interventoría</t>
  </si>
  <si>
    <t>Prueba inundación 48h | Verificación estanqueidad total | Sin fuga: acta interventoría | Drenar y secar antes de continuar</t>
  </si>
  <si>
    <t>Inst. Hidrosanitario</t>
  </si>
  <si>
    <t>F12.7</t>
  </si>
  <si>
    <t>Pasillos cubierta: nivelación con mortero de pisos e=3cm sobre losa impermeabilizada — pendiente hacia desagüe 1% mínimo — fratachado fino</t>
  </si>
  <si>
    <t>Mortero e=3cm sobre losa impermeabilizada | Pendiente hacia desagüe 1% mínimo | Fratachado fino</t>
  </si>
  <si>
    <t>F12.8</t>
  </si>
  <si>
    <t>Pasillos cubierta: instalación de cerámica antideslizante (según planos) + media caña perimetral en cerámica h=10cm en unión muro-piso — juntas con boquilla</t>
  </si>
  <si>
    <t>Cerámica antideslizante C3 según planos | Media caña perimetral h=10cm | Juntas con boquilla</t>
  </si>
  <si>
    <t>F12.9</t>
  </si>
  <si>
    <t>Instalación de bajantes de aguas lluvias, canaletas, cajas de desagüe y conexión a red hidrosanitaria vertical</t>
  </si>
  <si>
    <t>Bajantes aguas lluvias PVC | Canaletas | Cajas desagüe | Conexión a red vertical HS</t>
  </si>
  <si>
    <t>F12.10</t>
  </si>
  <si>
    <t>Instalación de flashings metálicos, remates en bordes, cumbrera y penetraciones — sellado con silicona neutra UV</t>
  </si>
  <si>
    <t>Flashings metálicos galvanizados | Remates en bordes y cumbrera | Sellado con silicona neutra UV resistente</t>
  </si>
  <si>
    <t>Electricista Solar</t>
  </si>
  <si>
    <t>F12.11</t>
  </si>
  <si>
    <t>Instalación de paneles solares según diseño eléctrico — estructura soportante, cableado DC/AC, inversor y conexión a tablero general (RETIE)</t>
  </si>
  <si>
    <t>Estructura soportante paneles | Cableado DC/AC | Inversor solar | Conexión tablero general | RETIE vigente</t>
  </si>
  <si>
    <t>F12.12</t>
  </si>
  <si>
    <t>Instalación de shut de basuras nivel cubierta + baranda perimetral metálica terraza + señalización de acceso</t>
  </si>
  <si>
    <t>Shut de basuras nivel cubierta | Baranda perimetral h=1.10m | Señalización acceso restringido</t>
  </si>
  <si>
    <t>F12.13</t>
  </si>
  <si>
    <t>Verificación integral de cubierta: estanqueidad, sellados, bajantes, uniones teja, estado estructura metálica, paneles solares — acta interventoría</t>
  </si>
  <si>
    <t>Lista de verificación: ✓estanqueidad ✓sellados ✓bajantes ✓teja ✓estructura metálica ✓paneles solares | Acta interventoría</t>
  </si>
  <si>
    <t>⚑ H-F12</t>
  </si>
  <si>
    <t>HITO: Cubierta completa — muros cuchilla, estructura metálica, teja termoaústica, terraza impermeabilizada, paneles solares instalados y prueba de estanqueidad aprobada</t>
  </si>
  <si>
    <t>F13</t>
  </si>
  <si>
    <t>FASE 13 — INSTALACIONES MEP: HIDROSANITARIO, ELÉCTRICO, GAS Y CONTRA INCENDIOS</t>
  </si>
  <si>
    <t>45d</t>
  </si>
  <si>
    <t>▶ RUTA CRÍTICA — Inicia cuando cubierta impermeabilizada (día 12 de F12) | Redes verticales requieren losa estable</t>
  </si>
  <si>
    <t>F13.1</t>
  </si>
  <si>
    <t>Instalación red de agua potable vertical: tubería PVC/CPVC por ductos y shaft</t>
  </si>
  <si>
    <t>Tubería PVC/CPVC por ductos y shaft | Verificar pendientes | Presionar tramos antes de cerrar</t>
  </si>
  <si>
    <t>F13.2</t>
  </si>
  <si>
    <t>Instalación red de agua caliente (CPVC) piso por piso con termotérmico</t>
  </si>
  <si>
    <t>CPVC agua caliente | Termostático de paso por apartamento | Aislamiento térmico EPDM</t>
  </si>
  <si>
    <t>F13.3</t>
  </si>
  <si>
    <t>Instalación red sanitaria y alcantarillado: tubería PVC — evacuación por gravedad</t>
  </si>
  <si>
    <t>Tubería PVC sanitaria | Evacuación por gravedad | Pendiente mín. 2% | Codos 45° en cambios dirección</t>
  </si>
  <si>
    <t>F13.4</t>
  </si>
  <si>
    <t>Instalación red de ventilación sanitaria (reventilación) según NTC 1500</t>
  </si>
  <si>
    <t>Reventilación según NTC 1500 | Evitar sifonaje | Cierres hidráulicos en todos los puntos</t>
  </si>
  <si>
    <t>F13.5</t>
  </si>
  <si>
    <t>Prueba de presión red hidráulica (1.5x presión trabajo, mín. 2h) por tramo</t>
  </si>
  <si>
    <t>Prueba presión 1.5× presión trabajo mín. 2h por tramo | Manometro calibrado | Acta por tramo</t>
  </si>
  <si>
    <t>Inst. Hidrosanitario / Interventoría</t>
  </si>
  <si>
    <t>F13.6</t>
  </si>
  <si>
    <t>Instalación tanque enterrado de almacenamiento + equipo de presión constante</t>
  </si>
  <si>
    <t>Tanque enterrado f'c=28MPa + Penetron | Capacidad 90.000L (2×45.000L) | Equipo presión constante</t>
  </si>
  <si>
    <t>F13.7</t>
  </si>
  <si>
    <t>Instalación acometida eléctrica + transformador + tablero general trifaséico</t>
  </si>
  <si>
    <t>Acometida eléctrica + transformador 225kVA | Tablero general trifásico | RETIE vigente | Empresa de servicios</t>
  </si>
  <si>
    <t>Electricista / Empresa de Servicios</t>
  </si>
  <si>
    <t>F13.8</t>
  </si>
  <si>
    <t>Instalación tableros monofásicos por apartamento — RETIE verificado</t>
  </si>
  <si>
    <t>6d</t>
  </si>
  <si>
    <t>Tablero monofásico por apartamento | RETIE vigente | Doble interruptor + circuitos | Acta por unidad</t>
  </si>
  <si>
    <t>F13.9</t>
  </si>
  <si>
    <t>Instalación circuitos eléctricos (tomas, iluminación, coaxial, citofonía, GFCI)</t>
  </si>
  <si>
    <t>Circuitos: 1 iluminación + 2 tomas + 1 GFCI baños + 1 coaxial + 1 citofonía + 1 cocina | RETIE</t>
  </si>
  <si>
    <t>F13.10</t>
  </si>
  <si>
    <t>Instalación generador de emergencia zonas comunes + tablero de transferencia</t>
  </si>
  <si>
    <t>Generador emergencia 50kVA | Tablero transferencia automática | Prueba carga 100% | Nivel combust</t>
  </si>
  <si>
    <t>F13.11</t>
  </si>
  <si>
    <t>Instalación ductos buitrón telecomunicaciones (cajón PAU, coaxial, fibra)</t>
  </si>
  <si>
    <t>Cajón PAU | Coaxial por ducto dedicado | Fibra óptica FTTH | Tapas de inspección accesibles</t>
  </si>
  <si>
    <t>F13.12</t>
  </si>
  <si>
    <t>Instalación red de gas domiciliario — puntos estufa y calentador — ductos vacíos por piso</t>
  </si>
  <si>
    <t>Tubería interna RETTIG amarilla 1/2" | Punto estufa + calentador de paso | Ducteria vacía por piso</t>
  </si>
  <si>
    <t>Gasfitero Certificado</t>
  </si>
  <si>
    <t>F13.13</t>
  </si>
  <si>
    <t>Prueba de estanqueidad red de gas (N2 a 1.5 bar, 24h) — acta de interventoría</t>
  </si>
  <si>
    <t>Prueba N² a 1.5 bar durante 24h | Manometro digital | Acta interventoría + gasero certificado RETTIG</t>
  </si>
  <si>
    <t>Gasfitero / Interventoría</t>
  </si>
  <si>
    <t>F13.14</t>
  </si>
  <si>
    <t>Instalación RCI: gabinetes clase 2 por piso — red hídrica — siamesas — válvulas (NFPA 13)</t>
  </si>
  <si>
    <t>Gabinetes clase 2 por piso | Red hídrica CPVC | Siamesas en acceso | Válvulas de cierre | NFPA 13</t>
  </si>
  <si>
    <t>Inst. RCI</t>
  </si>
  <si>
    <t>F13.15</t>
  </si>
  <si>
    <t>Instalación sistema detección incendios: detectores, alarmas, panel central (NFPA 72)</t>
  </si>
  <si>
    <t>Detectores de humo ionficos por cuarto | Alarmas sonoras | Panel central monitoreo | NFPA 72</t>
  </si>
  <si>
    <t>F12.14</t>
  </si>
  <si>
    <t>F13.16</t>
  </si>
  <si>
    <t>Prueba hidráulica red RCI — presión 200 PSI durante 2h — acta firmada</t>
  </si>
  <si>
    <t>Presión 200 PSI durante 2h | Inspector certificado | Acta firmada antes de tapar redes RCI</t>
  </si>
  <si>
    <t>Inst. RCI / Interventoría</t>
  </si>
  <si>
    <t>F12.15</t>
  </si>
  <si>
    <t>F13.17</t>
  </si>
  <si>
    <t>Prueba del sistema eléctrico: circuitos, polaridad, continuidad, RETIE — acta</t>
  </si>
  <si>
    <t>Circuitos RETIE: polaridad + continuidad + aislamientos + GFCI baños + tableros | Acta certificada</t>
  </si>
  <si>
    <t>Electricista / RETIE</t>
  </si>
  <si>
    <t>⚑ H-F13</t>
  </si>
  <si>
    <t>HITO: Redes MEP completas y probadas — actas RETIE, RCI y gas firmadas</t>
  </si>
  <si>
    <t>Interventoría verifica actas: RETIE + RCI + gas + HS antes de autorizar fachada y acabados</t>
  </si>
  <si>
    <t>F12.17</t>
  </si>
  <si>
    <t>F14</t>
  </si>
  <si>
    <t>FASE 14 — FACHADA: LADRILLO A LA VISTA + GRANIPLAST + PINTURA EXTERIOR</t>
  </si>
  <si>
    <t>30d</t>
  </si>
  <si>
    <t>◄◄ PARALELO con F14 — No suma en ruta crítica</t>
  </si>
  <si>
    <t>Maestro Fachada</t>
  </si>
  <si>
    <t>F11.H</t>
  </si>
  <si>
    <t>F14.1</t>
  </si>
  <si>
    <t>Instalación y certificación de andamiaje multidireccional o mast climber — inspección SISO</t>
  </si>
  <si>
    <t>Andamio multidireccional o mast climber | Inspección SISO | Certificado de montaje y carga</t>
  </si>
  <si>
    <t>Andamiero / SISO</t>
  </si>
  <si>
    <t>F14.2</t>
  </si>
  <si>
    <t>Aplicación de graniplast en zonas de fachada según plano de fachada</t>
  </si>
  <si>
    <t>Graniplast textura fina sobre muro limpio | 2 manos | Espesor uniforme | Según paleta de color proyecto</t>
  </si>
  <si>
    <t>F14.3</t>
  </si>
  <si>
    <t>Sellado de juntas entre ladrillo y elementos de ventanería — silicona neutra</t>
  </si>
  <si>
    <t>Sellado juntas muro-aluminio con silicona neutra | Sin huecos | Verificar adherencia</t>
  </si>
  <si>
    <t>F14.4</t>
  </si>
  <si>
    <t>Instalación de ventanería en aluminio natural — calafateo y alineación</t>
  </si>
  <si>
    <t>Aluminio natural anodizado | Vidrio 6mm laminado | Calafateo perimetral | Nivel y plomada</t>
  </si>
  <si>
    <t>Aluminiero</t>
  </si>
  <si>
    <t>F14.5</t>
  </si>
  <si>
    <t>Aplicación de pintura exterior sobre graniplast (2 manos) — según paleta color</t>
  </si>
  <si>
    <t>Pintura exterior texturada 2 manos | Imprimante previo | Según paleta color aprobada</t>
  </si>
  <si>
    <t>Pintor</t>
  </si>
  <si>
    <t>F14.6</t>
  </si>
  <si>
    <t>Desmontaje de andamiaje + limpieza de fachada y retiro de excedentes</t>
  </si>
  <si>
    <t>Desmontaje ordenado | Limpieza fachada | Retiro excedentes y sellado de huecos de andamio</t>
  </si>
  <si>
    <t>Andamiero</t>
  </si>
  <si>
    <t>⚑ H-F14</t>
  </si>
  <si>
    <t>HITO: Fachada terminada — ladrillo, graniplast, ventanería y pintura exterior completados</t>
  </si>
  <si>
    <t>F15</t>
  </si>
  <si>
    <t>FASE 15 — ACABADOS INTERIORES VIS + NO VIS (APARTAMENTOS Y CASAS)</t>
  </si>
  <si>
    <t>50d</t>
  </si>
  <si>
    <t>◄► TRASLAPE CON F14 — F15.1+F15.7+F15.8 inician sin ventanería | F15.2 en adelante requiere ventanería completa</t>
  </si>
  <si>
    <t>Res. Acabados</t>
  </si>
  <si>
    <t>F12.H</t>
  </si>
  <si>
    <t>F15.1</t>
  </si>
  <si>
    <t>Afinado de pisos piso a piso (VIS: concreto pulido | NO VIS: base para porcelanato) — inicia sin ventanería</t>
  </si>
  <si>
    <t>VIS: concreto pulido | NO VIS: base para porcelanato | Inicia sin ventanería | Cuadrilla piso a piso</t>
  </si>
  <si>
    <t>Piso</t>
  </si>
  <si>
    <t>F15.2</t>
  </si>
  <si>
    <t>Instalación pisos cerámica escaleras (gres/cerámica) con bordes en granito — inicia sin ventanería</t>
  </si>
  <si>
    <t>Gres antideslizante en escaleras | Bordes en granito | Bordes de peldaño protegidos</t>
  </si>
  <si>
    <t>F15.3</t>
  </si>
  <si>
    <t>Instalación cielo raso en yeso o drywall en zonas comunes y lobby — inicia sin ventanería</t>
  </si>
  <si>
    <t>Yeso o drywall zonas comunes y lobby | Inicia sin ventanería individual</t>
  </si>
  <si>
    <t>Enchapador</t>
  </si>
  <si>
    <t>F15.4</t>
  </si>
  <si>
    <t>Impermeabilización de baños (muros y piso) antes de enchape — mín 24h fraguado — requiere ventanería</t>
  </si>
  <si>
    <t>Impermeabilización 2 manos + cristalizante | 24h fraguo antes de enchape | Requiere ventanería</t>
  </si>
  <si>
    <t>Plomero</t>
  </si>
  <si>
    <t>F15.5</t>
  </si>
  <si>
    <t>Enchape de baños con cerámica nacional (VIS) o porcelanato (NO VIS) — juntas con boquilla</t>
  </si>
  <si>
    <t>VIS: cerámica nacional | NO VIS: porcelanato | Juntas boquilla blanca | Media caña 10cm</t>
  </si>
  <si>
    <t>Carpintero / Herrero</t>
  </si>
  <si>
    <t>F15.6</t>
  </si>
  <si>
    <t>Instalación aparatos sanitarios: sanitario, lavamanos, ducha — fijación y sello</t>
  </si>
  <si>
    <t>Sanitario + lavamanos + ducha | Fijación y sello siliconado | Llave de paso individual por aparato</t>
  </si>
  <si>
    <t>Gasfitero</t>
  </si>
  <si>
    <t>F15.7</t>
  </si>
  <si>
    <t>Instalación mueble inferior cocina + mesón acero inoxidable 1.50ml</t>
  </si>
  <si>
    <t>Mueble inferior + mesón acero inoxidable 1.50ml | Nivel ±3mm | Fijación con tarugos</t>
  </si>
  <si>
    <t>F15.8</t>
  </si>
  <si>
    <t>Instalación estufa a gas 4 puestos + puntos definitivos gas</t>
  </si>
  <si>
    <t>Estufa a gas 4 puestos | Punto gas definitivo | Prueba hermeticidad 24h | Gasero RETTIG</t>
  </si>
  <si>
    <t>Drywall</t>
  </si>
  <si>
    <t>F15.9</t>
  </si>
  <si>
    <t>Instalación puertas interiores: metal calibre 22 entrada — MDF baños</t>
  </si>
  <si>
    <t>Puertas: metal calibre 22 entrada | MDF baños | Marcos niveladados | Cilindro 3 llaves</t>
  </si>
  <si>
    <t>F15.10</t>
  </si>
  <si>
    <t>Instalación barandas de terraza: metálicas + tratamiento anticorrosivo</t>
  </si>
  <si>
    <t>Barandas metálicas terraza h=1.10m | Tratamiento anticorrosivo + esmalte | Pasamanos continuo</t>
  </si>
  <si>
    <t>Herrero</t>
  </si>
  <si>
    <t>F13.H</t>
  </si>
  <si>
    <t>F15.11</t>
  </si>
  <si>
    <t>Instalación luminarias básicas, tomas eléctricas, placa GFCI baños y citofonía</t>
  </si>
  <si>
    <t>Luminarias LED por ambiente | Tomas GFCI baños | Placa citofonía | RETIE por unidad</t>
  </si>
  <si>
    <t>F15.12</t>
  </si>
  <si>
    <t>Pintura interior muros y techos (1 mano selladora + 2 manos vinilo) — NO VIS y zonas comunes</t>
  </si>
  <si>
    <t>1 mano selladora + 2 manos vinilo | Interior muros y techos | Secado entre manos 4h mín.</t>
  </si>
  <si>
    <t>F14.8</t>
  </si>
  <si>
    <t>F15.13</t>
  </si>
  <si>
    <t>Instalación deck WPC en terrazas apartamentos NO VIS</t>
  </si>
  <si>
    <t>Deck WPC NO VIS | Estructura subbase PT aluminio | Fijación oculta | Pendiente 1%</t>
  </si>
  <si>
    <t>Carpintero</t>
  </si>
  <si>
    <t>F14.10</t>
  </si>
  <si>
    <t>F15.14</t>
  </si>
  <si>
    <t>Instalación de tanque 500L por casa VIS + conexión a red hidráulica</t>
  </si>
  <si>
    <t>Tanque 500L por casa VIS | Conexión red hidráulica | Bajante aguas lluvias incluido</t>
  </si>
  <si>
    <t>F15.15</t>
  </si>
  <si>
    <t>Limpieza fina de unidades y protección de enchapes y acabados terminados</t>
  </si>
  <si>
    <t>Aseo industrial por unidad | Protección de enchapes con cartón | Retiro de residuos</t>
  </si>
  <si>
    <t>Aseo</t>
  </si>
  <si>
    <t>F14.13</t>
  </si>
  <si>
    <t>⚑ H-F15</t>
  </si>
  <si>
    <t>HITO: Acabados interiores completos — baños enchapados, cocinas dotadas, pisos y pintura terminados</t>
  </si>
  <si>
    <t>F14.15</t>
  </si>
  <si>
    <t>F16</t>
  </si>
  <si>
    <t>FASE 16 — EQUIPOS ESPECIALES | Ver hoja 'EQUIPOS ESPECIALES' para detalle completo de cada equipo</t>
  </si>
  <si>
    <t>Ver hoja</t>
  </si>
  <si>
    <t>◄◄ PARALELO con F14 — No suma en ruta crítica | ⚠ Prerrequisito: pozo y cuarto máquinas terminados | Detalle completo en hoja EQUIPOS ESPECIALES</t>
  </si>
  <si>
    <t>Proveedor Especializado</t>
  </si>
  <si>
    <t>F16.1</t>
  </si>
  <si>
    <t>► Ver EQUIPOS ESPECIALES — EQUIPO 2: Ascensor SCALA KL-K001 | AS-01 a AS-09 | Contrato Mes 1 → Certificación ASME A17.1 + NTC 4595 | Guías + cabina inox. + fondo panorámico + 13 paradas</t>
  </si>
  <si>
    <t>130d (fab+montaje)</t>
  </si>
  <si>
    <t>⚠ Shaft plomado ±25mm obligatorio | Lead time fabricación 90-120 días | Firmar contrato DÍA 1 | Ver AS-01 a AS-09 en hoja EQUIPOS ESPECIALES</t>
  </si>
  <si>
    <t>SCALA Ascensores</t>
  </si>
  <si>
    <t>Pend.</t>
  </si>
  <si>
    <t>F16.2</t>
  </si>
  <si>
    <t>► Ver EQUIPOS ESPECIALES — EQUIPO 2: Pruebas de carga y funcionamiento ascensor (ASME A17.1) — certificado emitido | AS-08 + AS-09</t>
  </si>
  <si>
    <t>8d (prueba+cert)</t>
  </si>
  <si>
    <t>Prueba carga 125% capacidad nominal | Inspector ONAC | Certificado ASME A17.1 + NTC 4595 | Ver AS-08 y AS-09 en hoja EQUIPOS ESPECIALES</t>
  </si>
  <si>
    <t>SCALA / Interventoría</t>
  </si>
  <si>
    <t>F16.3</t>
  </si>
  <si>
    <t>► Ver EQUIPOS ESPECIALES — EQUIPO 5: Sistema CCTV | CC-01 a CC-06 | Cámaras en accesos, sótano, pasillos P1-P9, rooftop y ascensor | NVR + grabación 30 días</t>
  </si>
  <si>
    <t>17 cámaras mínimo | NVR 16ch | Visión nocturna IR | App móvil | Lead time equipos 15-20 días | Ver CC-01 a CC-06 en hoja EQUIPOS ESPECIALES</t>
  </si>
  <si>
    <t>Proveedor CCTV</t>
  </si>
  <si>
    <t>F16.4</t>
  </si>
  <si>
    <t>► Ver EQUIPOS ESPECIALES — EQUIPO 6: Generador emergencia zonas comunes + prueba de carga al 100% | GE-01 a GE-06 | 60-80 kVA diésel | ATS ≤10s</t>
  </si>
  <si>
    <t>40d</t>
  </si>
  <si>
    <t>Prueba obligatoria al 100% (2h continuas) | ATS automático ≤10s | Lead time 30-45 días | Ver GE-01 a GE-06 en hoja EQUIPOS ESPECIALES</t>
  </si>
  <si>
    <t>Electricista / Proveedor</t>
  </si>
  <si>
    <t>F16.5</t>
  </si>
  <si>
    <t>► Ver EQUIPOS ESPECIALES — EQUIPO 7: Citofonía + portero inteligente | CI7-01 a CI7-05 | 103 unidades | Videoportero IP HD | App móvil | Prueba comunicación</t>
  </si>
  <si>
    <t>25d</t>
  </si>
  <si>
    <t>103 unidades (89 aptos + 9 loc + 5 casas) | Apertura remota + app móvil | Lead time 15-20 días | Ver CI7-01 a CI7-05 en hoja EQUIPOS ESPECIALES</t>
  </si>
  <si>
    <t>Proveedor Citofonía</t>
  </si>
  <si>
    <t>F16.6</t>
  </si>
  <si>
    <t>► Ver EQUIPOS ESPECIALES — EQUIPO 8: Shut de basuras pisos 1-11 — compuertas + cuarto colector P1 | SB-01 a SB-06 | 11 compuertas acero inox.</t>
  </si>
  <si>
    <t>20d</t>
  </si>
  <si>
    <t>11 compuertas inox. cierre hermético | Cuarto colector P1: piso epóxico + sumidero + ventilación | Lead time fab. 10-15 días | Ver SB-01 a SB-06 en hoja EQUIPOS ESPECIALES</t>
  </si>
  <si>
    <t>Metalista</t>
  </si>
  <si>
    <t>F14.H</t>
  </si>
  <si>
    <t>F16.7</t>
  </si>
  <si>
    <t>► Ver EQUIPOS ESPECIALES — EQUIPO 1: Transformador 112.5 KVA + TDG + 103 medidores ITRON | TR-01 a TR-12 | ★ Gestión DÍA 1 ante CHEC | Lead time 60-90 días</t>
  </si>
  <si>
    <t>90d</t>
  </si>
  <si>
    <t>★ RUTA CRÍTICA EXTERNA | Radicar ante CHEC el DÍA 1 sin excepción | Lead time energización: 60-90 días | Ver TR-01 a TR-12 en hoja EQUIPOS ESPECIALES</t>
  </si>
  <si>
    <t>Ing. Eléctrico / CHEC</t>
  </si>
  <si>
    <t>INICIO</t>
  </si>
  <si>
    <t>⚑ H-F16</t>
  </si>
  <si>
    <t>HITO: Todos los equipos especiales operativos — Ascensor certificado ASME A17.1 | CCTV activo 30d | Generador prueba 100% | Citofonía 103 unidades | Shut basuras P1-P11 | Trafo energizado CHEC</t>
  </si>
  <si>
    <t>F17</t>
  </si>
  <si>
    <t>FASE 17 — ZONAS COMUNES: LOBBY, OFICINA ADMINISTRACIÓN, SALÓN SOCIAL, CUARTOS TÉCNICOS</t>
  </si>
  <si>
    <t>F17.1</t>
  </si>
  <si>
    <t>Construcción lobby P2: drywall, cerámica, iluminación, recepción, zona de estar, 2 baños</t>
  </si>
  <si>
    <t>Drywall + cerámica piso + iluminación LED | Recepción + zona de estar | 2 baños | Acabado VIS</t>
  </si>
  <si>
    <t>F17.2</t>
  </si>
  <si>
    <t>Acabados oficina administración: baño, puntos eléctricos y comunicaciones</t>
  </si>
  <si>
    <t>Oficina admin: baño privado + puntos eléctricos + comunicaciones | Mesa + silla entregadas</t>
  </si>
  <si>
    <t>F17.3</t>
  </si>
  <si>
    <t>Acondicionamiento salón social: piso tableta, iluminación, ventilación, cocineta</t>
  </si>
  <si>
    <t>Salón social: piso tableta + iluminación + ventilación + cocineta | Capacidad mín. 40 personas</t>
  </si>
  <si>
    <t>F17.4</t>
  </si>
  <si>
    <t>Acondicionamiento terraza BBQ: 4 mesas, sillas, piso en tableta o similar</t>
  </si>
  <si>
    <t>Terraza BBQ: adoquín o tableta + 4 mesas + sillas + zona BBQ + jardín vertical | Barandas h=1.10m</t>
  </si>
  <si>
    <t>F17.5</t>
  </si>
  <si>
    <t>Acabados gimnasio: piso vinilo o caucho, ventilación, iluminación</t>
  </si>
  <si>
    <t>Gimnasio: piso vinilo/caucho + ventilación + iluminación LED | Equipo según especificaciones</t>
  </si>
  <si>
    <t>F17.6</t>
  </si>
  <si>
    <t>Cuarto de basuras: piso epoxíco, ventilación, sumidero y acceso diferenciado</t>
  </si>
  <si>
    <t>Piso epóxico + ventilación + sumidero de piso + acceso diferenciado + llave de agua</t>
  </si>
  <si>
    <t>F17.7</t>
  </si>
  <si>
    <t>Señalización completa de edificio: rutas evacuación, piso, parqueaderos, accesos</t>
  </si>
  <si>
    <t>Rutas evacuación (NSR-10) + número piso + señales parqueadero + accesos discapacitados</t>
  </si>
  <si>
    <t>Señalizador</t>
  </si>
  <si>
    <t>⚑ H-F17</t>
  </si>
  <si>
    <t>HITO: Zonas comunes terminadas — lobby, salón social, terraza BBQ y señalización completos</t>
  </si>
  <si>
    <t>F18</t>
  </si>
  <si>
    <t>FASE 18 — URBANISMO Y OBRAS EXTERIORES</t>
  </si>
  <si>
    <t>F16.H</t>
  </si>
  <si>
    <t>F18.1</t>
  </si>
  <si>
    <t>Construcción vias internas, andenes en adoquín y bordillos</t>
  </si>
  <si>
    <t>Vias en concreto rígido e=15cm + andenes adoquín | Verificar pendientes de drenaje</t>
  </si>
  <si>
    <t>F18.2</t>
  </si>
  <si>
    <t>Instalación redes acueducto y alcantarillado del urbanismo — conexión a red pública</t>
  </si>
  <si>
    <t>Red acueducto + red alcantarillado | Conexión red pública | Medidores individuales por unidad</t>
  </si>
  <si>
    <t>F18.3</t>
  </si>
  <si>
    <t>Pavimentación y señalización de 53 parqueaderos vehículos + 14 motos</t>
  </si>
  <si>
    <t>53 autos + 14 motos | Pavimento e=8cm | Señalización horizontal y vertical</t>
  </si>
  <si>
    <t>Pavimentador</t>
  </si>
  <si>
    <t>F18.4</t>
  </si>
  <si>
    <t>Zonas verdes y jardinería — adecuación de suelos, siembra de prado y plantas</t>
  </si>
  <si>
    <t>Suelos adecuados + prado + plantas ornamentales | Arborizado según plan PMA</t>
  </si>
  <si>
    <t>Jardinero</t>
  </si>
  <si>
    <t>F18.5</t>
  </si>
  <si>
    <t>Instalación red eléctrica de urbanismo: iluminación exterior y accesos</t>
  </si>
  <si>
    <t>Postes + luminarias LED | Red subterránea RETIE | Iluminación andenes y accesos</t>
  </si>
  <si>
    <t>⚑ H-F18</t>
  </si>
  <si>
    <t>HITO: Urbanismo completo — andenes, parqueaderos, jardines y redes exteriores terminados</t>
  </si>
  <si>
    <t>F19</t>
  </si>
  <si>
    <t>FASE 19 — PRUEBAS TÉCNICAS GENERALES Y CERTIFICACIONES</t>
  </si>
  <si>
    <t>▶ PARALELO con F18 — Pruebas técnicas obligatorias antes de licencia</t>
  </si>
  <si>
    <t>Dir. Obra / Interventoría</t>
  </si>
  <si>
    <t>F17.H</t>
  </si>
  <si>
    <t>F19.1</t>
  </si>
  <si>
    <t>Prueba integral red hidrosanitaria: presión, flujo, funcionamiento válvulas</t>
  </si>
  <si>
    <t>Red hidrosanitaria: presión 1.5× trabajo | Flujo en todos los puntos | Válvulas funcionando</t>
  </si>
  <si>
    <t>F19.2</t>
  </si>
  <si>
    <t>Prueba integral eléctrica: RETIE, polaridad, tomas GFCI, tableros — acta certificada</t>
  </si>
  <si>
    <t>RETIE: polaridad + continuidad + aislamiento + GFCI baños + tableros | Acta certificada</t>
  </si>
  <si>
    <t>Electricista RETIE</t>
  </si>
  <si>
    <t>F19.3</t>
  </si>
  <si>
    <t>Prueba RCI: gabinetes por piso, siamesas, detección de humo, alarmas — NFPA 72</t>
  </si>
  <si>
    <t>Gabinetes por piso + siamesas + detección humo + alarmas | Inspección Bomberos + NFPA 72</t>
  </si>
  <si>
    <t>Inst. RCI / Bomberos</t>
  </si>
  <si>
    <t>F19.4</t>
  </si>
  <si>
    <t>Prueba sistema paneles solares: generación, inversor, inyección a red</t>
  </si>
  <si>
    <t>Paneles solares: generación real vs diseño | Inversor funcionando | Inyección a red verificada</t>
  </si>
  <si>
    <t>F19.5</t>
  </si>
  <si>
    <t>Verificación de cilindros de concreto: informe final de laboratorio todos los pisos</t>
  </si>
  <si>
    <t>Informe laboratorio ONAC por cada piso: cilindros 28d ≥100% f'c | Registro por nivel</t>
  </si>
  <si>
    <t>F19.6</t>
  </si>
  <si>
    <t>Inspección final interventoría: acta de terminación de obra</t>
  </si>
  <si>
    <t>Inspección final interventoría completa | Acta de terminación de obra firmada</t>
  </si>
  <si>
    <t>⚑ H-F19</t>
  </si>
  <si>
    <t>HITO: Todas las pruebas técnicas aprobadas — acta de terminación emitida</t>
  </si>
  <si>
    <t>F18.6</t>
  </si>
  <si>
    <t>════════════════════════════════════════════════════════════</t>
  </si>
  <si>
    <t>F19b</t>
  </si>
  <si>
    <t>19b</t>
  </si>
  <si>
    <t>FASE 19b — LOCALES COMERCIALES (9) + DEPÓSITOS (11) — ACABADOS Y ENTREGA</t>
  </si>
  <si>
    <t>◄◄ PARALELO con F18 — No suma en ruta crítica</t>
  </si>
  <si>
    <t>H-F18</t>
  </si>
  <si>
    <t>F19b.1</t>
  </si>
  <si>
    <t>19b.1</t>
  </si>
  <si>
    <t>Construcción muros divisorios locales en durapanel o sistema liviano (Sto/Superboard) según diseño arquitectónico</t>
  </si>
  <si>
    <t>Durapanel o Superboard según diseño | Espesores mínimos | Aislamiento acústico entre locales</t>
  </si>
  <si>
    <t>Subcontratista Drywall</t>
  </si>
  <si>
    <t>F19b.2</t>
  </si>
  <si>
    <t>19b.2</t>
  </si>
  <si>
    <t>Instalación puertas metálicas y ventanas locales: marcos en aluminio natural + vidrio 6mm laminado — selon design</t>
  </si>
  <si>
    <t>Puertas metálicas + ventanas aluminio 6mm laminado | Marcos nivelados | Calafateo perimetral</t>
  </si>
  <si>
    <t>Carpintero / Aluminiero</t>
  </si>
  <si>
    <t>F19b.3</t>
  </si>
  <si>
    <t>19b.3</t>
  </si>
  <si>
    <t>Instalación puntos eléctricos locales: tablero propio por local + tomas GFCI + iluminación LED + contador individual</t>
  </si>
  <si>
    <t>Tablero propio por local + tomas GFCI + iluminación LED + contador individual RETIE</t>
  </si>
  <si>
    <t>F19b.4</t>
  </si>
  <si>
    <t>19b.4</t>
  </si>
  <si>
    <t>Instalación puntos hidrosanitarios locales: punto de agua fría + sanitario + sumidero de piso — conexión a red general</t>
  </si>
  <si>
    <t>Agua fría + sanitario + sumidero de piso | Trampa de grasas si es restaurante</t>
  </si>
  <si>
    <t>Maestro Hidráulico</t>
  </si>
  <si>
    <t>F19b.5</t>
  </si>
  <si>
    <t>19b.5</t>
  </si>
  <si>
    <t>Acabados depósitos (11 unidades): piso concreto afinado + puerta metálica cal.18 + iluminación básica LED + número pintado</t>
  </si>
  <si>
    <t>11 depósitos: concreto afinado + puerta metal cal.18 + LED + número pintado | Numeración fija</t>
  </si>
  <si>
    <t>F19b.6</t>
  </si>
  <si>
    <t>19b.6</t>
  </si>
  <si>
    <t>Aseo fino de locales y depósitos — inspección individual: plomada de muros, instalaciones, puertas y acabados — acta interventoría</t>
  </si>
  <si>
    <t>Aseo fino + plomada muros + instalaciones + puertas + acabados | Acta por unidad</t>
  </si>
  <si>
    <t>Interventoría / Res. Acabados</t>
  </si>
  <si>
    <t>⚑ H-F19b</t>
  </si>
  <si>
    <t>19b.H</t>
  </si>
  <si>
    <t>HITO: 9 Locales comerciales + 11 Depósitos terminados — instalaciones completas y aprobados por interventoría para entrega</t>
  </si>
  <si>
    <t>══════════════════════════════════════════════════════════════════════════════════════</t>
  </si>
  <si>
    <t>F20</t>
  </si>
  <si>
    <t>FASE 20 — PARQUEADERO CUBIERTO (67 cupos) + ZONA SOCIAL + BBQ | Sistema: Pórticos Concreto + Estructura Metálica Cubierta | NSR-10</t>
  </si>
  <si>
    <t>82d</t>
  </si>
  <si>
    <t>PARALELA TORRE F6 COMPLETADA (18/01/2027) | 3 Pisos + Sótano | h=7.70m | f'c=3000 PSI</t>
  </si>
  <si>
    <t>Director de Obra</t>
  </si>
  <si>
    <t>⬜ Pendiente</t>
  </si>
  <si>
    <t>F20.A</t>
  </si>
  <si>
    <t>20.A</t>
  </si>
  <si>
    <t>SUBFASE A — REPLANTEO, EXCAVACIÓN Y PREPARACIÓN DE TERRENO</t>
  </si>
  <si>
    <t>Replanteo topográfico: cuadrícula de zapatas Z1-Z8 (21 unidades) + ejes de vigas VC-1</t>
  </si>
  <si>
    <t>★ CRÍTICA | Ejes: 1,3,4,6,7 (long.) + A,C,E (transv.) | Estación total | Cotas de fondo</t>
  </si>
  <si>
    <t>Topógrafo</t>
  </si>
  <si>
    <t>Excavación puntual de pozos de zapatas (21 und) + zanja vigas de cimentación VC-1</t>
  </si>
  <si>
    <t>Zapatas: Z1(2.2×2.2×0.40)×3, Z2(2.0×2.0)×4, Z3(1.5×1.5)×5, Z4(1.4×1.7)×6, Z5(4.0×1.9)×1, Z6(4.0×1.5)×1, Z8(2.6×1.5)×1 | Area total: 73.55 m²</t>
  </si>
  <si>
    <t>Res. / Operador</t>
  </si>
  <si>
    <t>Retiro de material sobrante + nivelación de fondo + verificación capacidad portante (12.35 t/m²)</t>
  </si>
  <si>
    <t>Lab. Suelos verifica capacidad portante = 12.35 ton/m² (Memoria Estructural) | Concepto escrito</t>
  </si>
  <si>
    <t>Lab. Suelos / Res.</t>
  </si>
  <si>
    <t>H20.A</t>
  </si>
  <si>
    <t>20.H.A</t>
  </si>
  <si>
    <t>⚑ HITO A: EXCAVACIÓN TERMINADA — Fondos de zapatas aprobados por interventoría</t>
  </si>
  <si>
    <t>HITO</t>
  </si>
  <si>
    <t>F20.B</t>
  </si>
  <si>
    <t>20.B</t>
  </si>
  <si>
    <t>SUBFASE B — ZAPATAS AISLADAS Z1-Z8 (21 und | f'c=3000 PSI | Acero #4)</t>
  </si>
  <si>
    <t>Habilitado acero de refuerzo zapatas: #4 @0.15 m d.s. (Z1-Z4,Z8) / #4 @0.10 m (Z5,Z6) — Total 1,148 kg</t>
  </si>
  <si>
    <t>Acero total zapatas: 1,148.51 kg | +2% desperdicio = 1,171 kg | fy=420 MPa | NSR-10 C.21</t>
  </si>
  <si>
    <t>Armador</t>
  </si>
  <si>
    <t>Instalación redes hidrosanitarias y eléctricas provisionales embebidas bajo placa contrapiso</t>
  </si>
  <si>
    <t>Red de desagüe de baños zona social + puntos eléctricos | Verificar cotas antes del vaciado</t>
  </si>
  <si>
    <t>Plomero / Electricista</t>
  </si>
  <si>
    <t>Vaciado zapatas Z1-Z8 (21 und) — Vol. neto: 29.42 m³ | +5% = 30.89 m³ | f'c=3000 PSI | 4 cilindros</t>
  </si>
  <si>
    <t>Vaciado secuencial por grupos (Z1-Z4 día 1, Z5-Z8 día 2) | Vibrado cada 30 cm | Toma de cilindros obligatoria</t>
  </si>
  <si>
    <t>Concretero / Res.</t>
  </si>
  <si>
    <t>Curado zapatas (mín. 4 días acelerado) — curador químico + humedad | Verificar resistencia</t>
  </si>
  <si>
    <t>f'c=3000 PSI acelerado: resistencia 4 días ≥ 85% f'c | Informes laboratorio antes de continuar</t>
  </si>
  <si>
    <t>H20.B</t>
  </si>
  <si>
    <t>20.H.B</t>
  </si>
  <si>
    <t>⚑ HITO B: ZAPATAS CURADAS — f'c verificado, recubrimientos correctos, desencofre autorizado</t>
  </si>
  <si>
    <t>F20.C</t>
  </si>
  <si>
    <t>20.C</t>
  </si>
  <si>
    <t>SUBFASE C — VIGAS DE CIMENTACIÓN VC-1 (0.35×0.35 m | f'c=3000 PSI | 9 ejes)</t>
  </si>
  <si>
    <t>Encofrado lateral vigas VC-1 en 9 ejes: long. (1,3,4,6,7) + transv. (A,C,E) — longitudes totales según planos</t>
  </si>
  <si>
    <t>VC-1 ejes longitudinales: L=22.51m+9.58m+9.07m+6.07m / Transversales: A(9.58m), C(9.58m), E(6.50m)</t>
  </si>
  <si>
    <t>Encofrador / Res.</t>
  </si>
  <si>
    <t>Habilitado y montaje acero vigas VC-1: 8#4 long. + #3@0.20m estribos — 9,812 kg total acero vigas</t>
  </si>
  <si>
    <t>Acero VC-1: 8×#4 longitudinal (kg/m=7.95) + estribos #3@0.20m (kg/m=3.56) = 11.51 kg/m lineal | NSR-10 C.21</t>
  </si>
  <si>
    <t>Armador / Interventoría</t>
  </si>
  <si>
    <t>Revisión pre-vaciado vigas interventoría: refuerzo, recubrimientos, encofrado, traslapes en zapatas</t>
  </si>
  <si>
    <t>Acta obligatoria | Verificar traslape vigas-zapatas mín. 40Ø | Recubrimiento libre 3 cm</t>
  </si>
  <si>
    <t>Vaciado vigas VC-1 — Vol. neto: 9.35 m³ | +5% = 9.81 m³ | f'c=3000 PSI | 4 cilindros por vaciado</t>
  </si>
  <si>
    <t>Vaciado en 2 grupos (ejes long. + transv.) | Vibrado continuo | Temperatura ≥ 10°C</t>
  </si>
  <si>
    <t>Curado vigas VC-1 (4 días) + desencofre lateral</t>
  </si>
  <si>
    <t>Curador químico en caras expuestas | Desencofre a las 24h (cara lateral no estructural)</t>
  </si>
  <si>
    <t>H20.C</t>
  </si>
  <si>
    <t>20.H.C</t>
  </si>
  <si>
    <t>⚑ HITO C: CIMENTACIÓN COMPLETA — Zapatas + Vigas curadas, aprobadas para placa contrapiso</t>
  </si>
  <si>
    <t>F20.D</t>
  </si>
  <si>
    <t>20.D</t>
  </si>
  <si>
    <t>SUBFASE D — PLACA DE CONTRAPISO (215.43 m² | e=12 cm | f'c=3000 PSI)</t>
  </si>
  <si>
    <t>Subbase compactada (recebo b-600) e=10 cm + malla polisombra separadora</t>
  </si>
  <si>
    <t>K ≥ 95% Proctor | Verificar cota de piso terminado antes de fundir | Nivel láser</t>
  </si>
  <si>
    <t>Res. / Lab. Suelos</t>
  </si>
  <si>
    <t>Instalación redes hidrosanitarias embebidas + puntos eléctricos bajo placa contrapiso</t>
  </si>
  <si>
    <t>Desagüe pluvial parqueadero + puntos acometida servicios zona social | Sifones de piso parqueadero</t>
  </si>
  <si>
    <t>Colocación malla electrosoldada placa contrapiso + encofrado perimetral</t>
  </si>
  <si>
    <t>Malla fy=490 MPa | Traslape mín. 30 cm | Separadores plásticos recubrimiento 3 cm | Área 215.43 m²</t>
  </si>
  <si>
    <t>Vaciado placa contrapiso e=12 cm — Vol. neto: 25.85 m³ | f'c=3000 PSI | Acabado llana helicóptero</t>
  </si>
  <si>
    <t>Acabado helicóptero: superficie parqueadero debe soportar vehículos | Pendiente 2% hacia sumideros | 4 cilindros</t>
  </si>
  <si>
    <t>Curado placa contrapiso (4 días) + sellador superficial para tráfico vehicular</t>
  </si>
  <si>
    <t>Sellador acrílico o epóxico: resistencia a hidrocarburos (parqueadero) | Curado: agua + plástico 4 días</t>
  </si>
  <si>
    <t>H20.D</t>
  </si>
  <si>
    <t>20.H.D</t>
  </si>
  <si>
    <t>⚑ HITO D: PLACA CONTRAPISO LISTA — Resistencia aprobada, superficie sellada para tráfico</t>
  </si>
  <si>
    <t>F20.E</t>
  </si>
  <si>
    <t>20.E</t>
  </si>
  <si>
    <t>SUBFASE E — MUROS ESTRUCTURALES PISO 1 + COLUMNAS C35×35 (f'c=3000 PSI | 21 cols)</t>
  </si>
  <si>
    <t>Replanteo de muros y columnas piso 1 sobre placa contrapiso — marcación ejes X e Y</t>
  </si>
  <si>
    <t>21 columnas C35×35 piso 1 | Muros eje Y: fachada 4.3m, baño 3.0m, internos | Eje X: posterior 10m, frontal 3.6+1.15m</t>
  </si>
  <si>
    <t>Topógrafo / Res.</t>
  </si>
  <si>
    <t>Habilitado y montaje acero columnas C35×35 — 21 cols | 13#4 long + #3@95mm zona Lo (NSR-10 DES)</t>
  </si>
  <si>
    <t>Acero cols piso 1: 21 cols × h=2.50m × 12.92 kg/m = 677 kg | Estribos #3@95mm en Lo=0.45m | Flejes certificados</t>
  </si>
  <si>
    <t>Armador / Res.</t>
  </si>
  <si>
    <t>Habilitado acero muros estructurales piso 1 (eje X + Y) — doble malla #3 y #4 | 1,130 m²÷3 pisos=377 m²/piso</t>
  </si>
  <si>
    <t>Muros estructurales: doble malla fy=420 MPa | Separación vertical mín. cada 200mm | Traslapes 40Ø NSR-10</t>
  </si>
  <si>
    <t>Instalación ductos eléctricos + hidrosanitario embebidos en muros piso 1</t>
  </si>
  <si>
    <t>Conduit PVC 3/4" eléctrico | Tuberías HidraFlex/PVC red sanitaria y agua | Verificar antes de encofrar</t>
  </si>
  <si>
    <t>Instalación y aplomado formaleta FORSA/UNISPAN columnas + muros piso 1</t>
  </si>
  <si>
    <t>Formaleta modular FORSA | Verticalidad ±5mm | Arriostres cada 1.2m | Pre-revisión Interventoría</t>
  </si>
  <si>
    <t>Revisión pre-vaciado piso 1: refuerzo, ductos, formaleta, recubrimientos — Acta aprobación</t>
  </si>
  <si>
    <t>Interventoría verifica: traslapes, estribos zona Lo, recubr. 3cm cols / 2cm muros | Acta firmada</t>
  </si>
  <si>
    <t>Vaciado muros + columnas piso 1 — Vol. muros: ~38.57 m³ | f'c=3000 PSI tremie | 4 cilindros</t>
  </si>
  <si>
    <t>Vol. total muros P1: 115.72÷3=38.57 m³/piso | Vibrado cada 50cm por capas de 30cm | Temperatura concreto ≤35°C</t>
  </si>
  <si>
    <t>Curado muros piso 1 (4 días acelerado) + desencofre FORSA (mín. 16 hrs)</t>
  </si>
  <si>
    <t>Curador químico en caras expuestas | Desencofre con autorización Interventoría | Temperatura ≥10°C</t>
  </si>
  <si>
    <t>H20.E</t>
  </si>
  <si>
    <t>20.H.E</t>
  </si>
  <si>
    <t>⚑ HITO E: MUROS + COLUMNAS PISO 1 TERMINADOS — Curado completo, aprobado por interventoría</t>
  </si>
  <si>
    <t>F20.F</t>
  </si>
  <si>
    <t>20.F</t>
  </si>
  <si>
    <t>SUBFASE F — PLACA ENTREPISO PISO 2 + VIGAS AÉREAS V30×35 / VB20×35 (f'c=3000 PSI)</t>
  </si>
  <si>
    <t>Encofrado y puntales placa entrepiso P2 — FORSA o tableros / puntales cada 1.0m | 215.43 m²</t>
  </si>
  <si>
    <t>Puntales mínimo 21 días ACI 347 | Nivelación láser | Carga máxima sobre muros P1 verificada por cálculo</t>
  </si>
  <si>
    <t>Encofrador</t>
  </si>
  <si>
    <t>Encofrado vigas aéreas V30×35 PISO 2 (L total ~94m) + VB20×35 borde (L~52m)</t>
  </si>
  <si>
    <t>V30×35: b=0.30m h=0.35m | VB20×35: b=0.20m h=0.35m | Verificar alineación con columnas C35×35</t>
  </si>
  <si>
    <t>Habilitado y montaje acero vigas V30×35 + VB20×35: 4#4 cama inf + 4#4 cama sup + #3@0.15m</t>
  </si>
  <si>
    <t>Acero V30×35: 12.80 kg/m lineal | VB20×35: 9.70 kg/m | Total vigas P2: ~1,710 kg | +2% desp.</t>
  </si>
  <si>
    <t>Malla electrosoldada placa P2 e=12cm + ductos embebidos hidrosanitarios y eléctricos</t>
  </si>
  <si>
    <t>Área placa P2: 215.43 m² | e=12cm | Vol=25.85 m³ | Acero placa: 2,481 kg (malla+bastones) | Ductos instalados antes del vaciado</t>
  </si>
  <si>
    <t>Armador / Plomero / Elec.</t>
  </si>
  <si>
    <t>Revisión pre-vaciado placa P2 + vigas interventoría — Acta de aprobación</t>
  </si>
  <si>
    <t>Verificar: acero vigas, malla placa, ductos, recubrimientos, puntales en posición | Acta firmada obligatoria</t>
  </si>
  <si>
    <t>Vaciado placa P2 + vigas V30×35 + VB20×35 — Vol. total ~27.57 m³ | f'c=3000 PSI | 4 cilindros</t>
  </si>
  <si>
    <t>Vol. vigas P2: ~1.72 m³ | Vol. placa: 25.85 m³ | Vaciado simultáneo | Vibrado vigas antes que placa</t>
  </si>
  <si>
    <t>Curado placa P2 (4 días) — puntales permanecen mín. 21 días</t>
  </si>
  <si>
    <t>Puntales NO se retiran hasta 21 días después del vaciado (ACI 347.2R) | Curador húmedo + plástico</t>
  </si>
  <si>
    <t>H20.F</t>
  </si>
  <si>
    <t>20.H.F</t>
  </si>
  <si>
    <t>⚑ HITO F: PLACA P2 CURADA — Resistencia verificada, aprobada para muros piso 2</t>
  </si>
  <si>
    <t>F20.G</t>
  </si>
  <si>
    <t>20.G</t>
  </si>
  <si>
    <t>SUBFASE G — MUROS PISO 2 + ESCALERAS (f'c=3000 PSI | 16 cols TERRAZA)</t>
  </si>
  <si>
    <t>Replanteo muros piso 2 + escaleras — verificación verticalidad acumulada ≤ H/500</t>
  </si>
  <si>
    <t>16 columnas C35×35 en TERRAZA (h=2.66m) | Escaleras: CP=18cm, P=28cm, ancho=1.20m, 11 pasos</t>
  </si>
  <si>
    <t>Habilitado y montaje acero muros piso 2 (eje X + Y) + columnas 16 und | Acero escaleras</t>
  </si>
  <si>
    <t>Acero cols TERRAZA: 16 cols × h=2.66m × 12.92 kg/m = 550 kg | Escaleras: 2,132 kg (garganta + peldaños)</t>
  </si>
  <si>
    <t>Ductos embebidos piso 2 + encofrado FORSA muros P2 + escaleras simultáneo</t>
  </si>
  <si>
    <t>Escaleras y muros se vacían juntos | Encofrado escalera: tableros laterales + peldañería | Arriostres laterales</t>
  </si>
  <si>
    <t>Encofrador / Plomero / Elec.</t>
  </si>
  <si>
    <t>Revisión pre-vaciado muros P2 + escaleras — Acta interventoría</t>
  </si>
  <si>
    <t>Verificar refuerzo garganta escalera (t=15cm) + acero longitudinal peldaños | Recubrimiento 2cm</t>
  </si>
  <si>
    <t>Vaciado muros piso 2 + escaleras — Vol. muros: ~38.57 m³ + escal: ~9.02 m³ | f'c=3000 PSI</t>
  </si>
  <si>
    <t>Vol. total vaciado: ~47.59 m³ | Escal.: 27.06÷3=9.02 m³/tramo | Vibrado cuidadoso en garganta</t>
  </si>
  <si>
    <t>Curado muros P2 + escaleras (4 días) — escaleras: puntales 14 días mínimo</t>
  </si>
  <si>
    <t>Proteger aristas escaleras con perfiles angulares | Curar con arpillera húmeda | Retiro puntales: mín. 14 días</t>
  </si>
  <si>
    <t>H20.G</t>
  </si>
  <si>
    <t>20.H.G</t>
  </si>
  <si>
    <t>⚑ HITO G: MUROS P2 + ESCALERAS TERMINADOS</t>
  </si>
  <si>
    <t>F20.H</t>
  </si>
  <si>
    <t>20.H.</t>
  </si>
  <si>
    <t>SUBFASE H — PLACA ENTREPISO PISO 3 + VIGAS V20×25 + MUROS PISO 3 (f'c=3000 PSI | 4 cols CUBIERTA)</t>
  </si>
  <si>
    <t>12d</t>
  </si>
  <si>
    <t>Encofrado placa piso 3 (215.43 m²) + vigas V20×25 cubierta concreto (L~32m) + puntales 21d</t>
  </si>
  <si>
    <t>V20×25: b=0.20m h=0.25m | Anillo concreto cubierta | 4 columnas C35×35 concreto h=2.54m</t>
  </si>
  <si>
    <t>Habilitado acero placa P3 + vigas V20×25 + 4 columnas cubierta concreto</t>
  </si>
  <si>
    <t>Acero placa P3: 2,481 kg | Vigas V20×25: ~3.97 kg/m × 32m = 127 kg | Cols cubierta: 4×2.54×12.92=131 kg</t>
  </si>
  <si>
    <t>Ductos piso 3 + muros estructurales piso 3 (eje X + Y) armado y encofrado</t>
  </si>
  <si>
    <t>Muros P3: ~38.57 m³ | Muretes cubierta (h=0.90m) eje fachada + frontal | Ductos MEP antes de encofrar</t>
  </si>
  <si>
    <t>Armador / Encofrador / Plomero</t>
  </si>
  <si>
    <t>Revisión pre-vaciado placa P3 + vigas + muros P3 — Acta interventoría</t>
  </si>
  <si>
    <t>Revisión integral: placa+vigas+muros en un solo vaciado si es posible | Secuencia: vigas → muros → placa</t>
  </si>
  <si>
    <t>Vaciado placa P3 + vigas V20×25 + muros piso 3 — Vol. total: ~52.58 m³ | f'c=3000 PSI</t>
  </si>
  <si>
    <t>Vol. placa P3: 25.85 m³ + muros P3: 38.57 m³ - 11.84 m³ (vigas superpuestas) = 52.58 m³ | 6 cilindros</t>
  </si>
  <si>
    <t>Curado placa P3 + muros P3 (4 días) — puntales permanecen 21 días</t>
  </si>
  <si>
    <t>Curado húmedo + plástico | No retirar puntales P3 hasta completar estructura metálica cubierta</t>
  </si>
  <si>
    <t>H20.H</t>
  </si>
  <si>
    <t>20.H.H</t>
  </si>
  <si>
    <t>⚑ HITO H: ESTRUCTURA CONCRETO COMPLETA — 3 pisos terminados, muros curados, h=7.70m</t>
  </si>
  <si>
    <t>Verificar verticalidad total (H/500 NSR-10) | Cilindros de laboratorio aprobados todos los pisos</t>
  </si>
  <si>
    <t>F20.I</t>
  </si>
  <si>
    <t>20.I</t>
  </si>
  <si>
    <t>SUBFASE I — ESTRUCTURA METÁLICA CUBIERTA: PTE 6"×3mm + PTE 100×150×3mm + CORREAS 2P-150-14</t>
  </si>
  <si>
    <t>Subcontr. Metálico</t>
  </si>
  <si>
    <t>Instalación columnas metálicas cubierta PTE D=6"×3mm (4 cols: C2,C4,C12,C13) + placas base 250×250×15mm</t>
  </si>
  <si>
    <t>Cols metálicas h=2.54m | Placa base 250×250mm anclada al anillo concreto | Nivel y plomada con instrumentos</t>
  </si>
  <si>
    <t>Soldador / Res. Metálico</t>
  </si>
  <si>
    <t>Montaje vigas principales PTE 100×150×3mm cubierta (~20 vigas, L≈3.80m) + arriostramiento horizontal</t>
  </si>
  <si>
    <t>65 vigas PTE 100×150×3mm total (vigas principales + secundarias B1-B170) | ASTM A500 Gr.C | Soldadura verificada</t>
  </si>
  <si>
    <t>Soldador / Armador met.</t>
  </si>
  <si>
    <t>Instalación diagonales/riostras PTE 6"×3mm (6 und: D1-D6) en plano de cubierta</t>
  </si>
  <si>
    <t>Riostras D1-D6: L≈3.20m | Conexiones: soldadura + pernos A325 | Verificar simetría de arriostramiento</t>
  </si>
  <si>
    <t>Soldador</t>
  </si>
  <si>
    <t>Instalación correas 2P-150-14 (19 und, sep=1.20m) + viguetas 2P-9-11 PISO2+TERRAZA (48 und)</t>
  </si>
  <si>
    <t>Correas: L=9.58m c/u | Viguetas 2P-9-11: L=5.40m, sep=1.70m | ASTM A992 Fy50 | Conexión soldada a vigas</t>
  </si>
  <si>
    <t>Pintura anticorrosiva (2 manos Epóxica) + pintura de acabado estructura metálica</t>
  </si>
  <si>
    <t>Limpieza SSPC-SP6 | 1ª mano: epóxica zinc phosphate 75 micras | 2ª mano: esmalte aluminio 50 micras</t>
  </si>
  <si>
    <t>Pintor Industrial</t>
  </si>
  <si>
    <t>H20.I</t>
  </si>
  <si>
    <t>20.H.I</t>
  </si>
  <si>
    <t>⚑ HITO I: ESTRUCTURA METÁLICA COMPLETA — Soldaduras inspeccionadas, pintura aplicada</t>
  </si>
  <si>
    <t>Inspección visual soldaduras 100% | Ensayos líquidos penetrantes en uniones críticas</t>
  </si>
  <si>
    <t>Interventoría / Res.</t>
  </si>
  <si>
    <t>F20.J</t>
  </si>
  <si>
    <t>20.J</t>
  </si>
  <si>
    <t>SUBFASE J — INSTALACIONES MEP: HIDROSANITARIO + ELÉCTRICO + ILUMINACIÓN PARQUEADERO</t>
  </si>
  <si>
    <t>Ing. MEP</t>
  </si>
  <si>
    <t>Redes hidrosanitarias verticales: bajantes PVC + red de desagüe parqueadero + sifones de piso</t>
  </si>
  <si>
    <t>Desagüe vehicular: sifón Ø4" c/rejilla metálica por bahía | Red pluvial cubierta | Trampa de grasa parqueadero</t>
  </si>
  <si>
    <t>Instalación eléctrica: tablero 3F+N, iluminación LED parqueadero (lux mín. 100 lux RETIE), tomas</t>
  </si>
  <si>
    <t>Iluminación: luminarias LED IP65 en cubierta metálica | Tomas 110V zona social | Circuito emergencia</t>
  </si>
  <si>
    <t>Acometida eléctrica externa desde medidor + red contra incendio (extintor portátil por bahía)</t>
  </si>
  <si>
    <t>Acometida: cable 4×10mm² THHN | RCI: extintor CO₂ 5kg por cada 4 cupos | RETIE certificación</t>
  </si>
  <si>
    <t>Electricista / Res.</t>
  </si>
  <si>
    <t>H20.J</t>
  </si>
  <si>
    <t>20.H.J</t>
  </si>
  <si>
    <t>⚑ HITO J: INSTALACIONES MEP COMPLETAS — RETIE + red hidrosanitaria aprobadas por interventoría</t>
  </si>
  <si>
    <t>F20.K</t>
  </si>
  <si>
    <t>20.K</t>
  </si>
  <si>
    <t>SUBFASE K — ACABADOS ZONA SOCIAL + SALÓN BBQ + CUBIERTA FIBROCEMENTO</t>
  </si>
  <si>
    <t>Instalación cubierta metálica: teja fibrocemento sobre correas 2P-150-14 (sep=1.20m)</t>
  </si>
  <si>
    <t>Teja fibrocemento Cal. 6: traslape mín. 1 canal | Caballete y remates en cumbreras | Fijación con pernos galvanizados</t>
  </si>
  <si>
    <t>Subcontr. Cubierta</t>
  </si>
  <si>
    <t>Pañete y acabados muros zona social + BBQ: mortero 1:4 + pintura vinilo 2 manos</t>
  </si>
  <si>
    <t>Muros internos zona social: pañete 1.5cm + vinilo tipo 1 blanco | Zonas húmedas: enchape cerámica hasta 1.50m</t>
  </si>
  <si>
    <t>Albañil / Pintor</t>
  </si>
  <si>
    <t>Piso parqueadero: sello endurecedor epóxico sobre placa contrapiso (tráfico vehicular pesado)</t>
  </si>
  <si>
    <t>Sistema epóxico autonivelante 2mm: resistencia química a combustibles | Color gris RAL 7040 | Demarcación bahías</t>
  </si>
  <si>
    <t>Aplicador Industrial</t>
  </si>
  <si>
    <t>Demarcación vial interna: pintura de tráfico reflectiva (67 cupos: 53 autos + 14 motos) + señalización</t>
  </si>
  <si>
    <t>Pintura tráfico blanca y amarilla | Señalización: velocidad, discapacitados, flecha direccional | NSR-10 accesibilidad</t>
  </si>
  <si>
    <t>Pintor Tráfico / Res.</t>
  </si>
  <si>
    <t>Carpintería metálica: puertas enrollables parqueadero + reja zona social + ventilación louvres</t>
  </si>
  <si>
    <t>Puerta enrollable: acero galvanizado con motor eléctrico | Zona social: rejas decorativas | Louvres: ventilación nat.</t>
  </si>
  <si>
    <t>Herrero / Carpintero met.</t>
  </si>
  <si>
    <t>H20.K</t>
  </si>
  <si>
    <t>20.H.K</t>
  </si>
  <si>
    <t>⚑ HITO K: ACABADOS ZONA SOCIAL TERMINADOS — Parqueadero demarcado, zona social habitable</t>
  </si>
  <si>
    <t>F20.L</t>
  </si>
  <si>
    <t>20.L</t>
  </si>
  <si>
    <t>SUBFASE L — PRUEBAS FINALES + ASEO + ENTREGA PARQUEADERO Y ZONA SOCIAL</t>
  </si>
  <si>
    <t>Dir. Calidad</t>
  </si>
  <si>
    <t>Prueba hidrostática red parqueadero + RETIE eléctrico + verificación RCI (extintores)</t>
  </si>
  <si>
    <t>Presión hidrostática: 1.5 kg/cm² — 2 horas | RETIE: electricista certificado + acta | RCI: técnico NFPA</t>
  </si>
  <si>
    <t>Plomero / Electricista / Interventoría</t>
  </si>
  <si>
    <t>Aseo general parqueadero + zona social + retiro de escombros a escombrera autorizada</t>
  </si>
  <si>
    <t>Limpieza piso epóxico con mopa industrial | Vidrios + luminarias + rejillas | Retiro todos los encofrados restantes</t>
  </si>
  <si>
    <t>Cuadrilla Aseo</t>
  </si>
  <si>
    <t>Inspección final interventoría + punch list: estructura, acabados, instalaciones, señalización</t>
  </si>
  <si>
    <t>Checklist: 30 ítems mínimo | Correcciones en máximo 2 días hábiles | Re-inspección antes de entrega</t>
  </si>
  <si>
    <t>Corrección observaciones + segundo aseo + fotografías de entrega</t>
  </si>
  <si>
    <t>Registro fotográfico completo por bahía y área | Entregar a Gerencia con dossier de calidad</t>
  </si>
  <si>
    <t>Res. / Maestro</t>
  </si>
  <si>
    <t>H20.F20</t>
  </si>
  <si>
    <t>20.H.F20</t>
  </si>
  <si>
    <t>⚑ HITO FINAL F20 — PARQUEADERO + ZONA SOCIAL TERMINADOS Y ENTREGADOS A GERENCIA</t>
  </si>
  <si>
    <t>Coordinar con FASE 22 Urbanismo (vías de acceso) y FASE 26 Entrega General</t>
  </si>
  <si>
    <t>══════════════════════════════════════════════════════════</t>
  </si>
  <si>
    <t>F21</t>
  </si>
  <si>
    <t>FASE 21 — CONSTRUCCIÓN 5 CASAS VIS (2 NIVELES) — ESPECIFICACIONES COMPLETAS</t>
  </si>
  <si>
    <t>85d</t>
  </si>
  <si>
    <t>Cubierta losa e=10cm impermeabilizada a la vista | Muros concreto a la vista e=10cm | Fachada: ladrillo vista (principal) + graniplast (laterales+trasera) | Pisos: concreto a la vista SIN enchape excepto baños y escaleras | Apantallamiento RETIE | Tanque 500L/casa</t>
  </si>
  <si>
    <t>Residente Casas</t>
  </si>
  <si>
    <t>Hito Torre P4</t>
  </si>
  <si>
    <t>⬜</t>
  </si>
  <si>
    <t>21.A</t>
  </si>
  <si>
    <t>SUBFASE A — CIMENTACIÓN Y ESTRUCTURA: Vigas + Placa Contrapiso + Muros P1 + Losa Entrepiso + Muros P2 + Losa Cubierta</t>
  </si>
  <si>
    <t>70d</t>
  </si>
  <si>
    <t>f'c=21 MPa (3000 PSI) en todos los elementos | Formaleta FORSA metálica | Muros e=10cm concreto a la vista | NSR-10</t>
  </si>
  <si>
    <t>21.A1</t>
  </si>
  <si>
    <t>Replanteo topográfico: ejes de fundación (X e Y) + cotas de fondo + escuadría de 5 casas con estación total</t>
  </si>
  <si>
    <t>Verificar escuadría: diagonal ≤5mm | Ejes VC (vigas cimentación) + ejes de muros | Clavado de trazos | Cota fondo según diseño</t>
  </si>
  <si>
    <t>21.A1b</t>
  </si>
  <si>
    <t>21.1b</t>
  </si>
  <si>
    <t>Replanteo y localización pilotes: coordenadas X/Y sobre plano de cimentación (aprobado interventoría) | Tolerancia posición ±25mm NSR-10 C.18 | Clavado plantilla de ubicación</t>
  </si>
  <si>
    <t>OBLIGATORIO: plano pilotaje aprobado antes de perforar | Tolerancia ±25mm NSR-10 C.18 | Estación total para coordenadas exactas | Verificar no interferencia con redes subterráneas | CRÍTICO: cimentación en PILOTES con vigas corridas</t>
  </si>
  <si>
    <t>Topógrafo / Subcontrat. Pilotes</t>
  </si>
  <si>
    <t>O</t>
  </si>
  <si>
    <t>21.A1c</t>
  </si>
  <si>
    <t>21.1c</t>
  </si>
  <si>
    <t>Perforación pilotes Ø mín. 25cm con equipo rotatorio + armado jaulas: 6No.4 Fy=420MPa longitudinal + espiral No.3@150mm | Recubrimiento 7cm | L jaula = L pilote + 20cm para continuidad</t>
  </si>
  <si>
    <t>Diámetro y longitud SEGÚN DISEÑO ESTRUCTURAL | Verificar cota de rechazo/apoyo antes de instalar jaula | Espaciadores circulares 7cm | L jaula hasta 20cm sobre NTN para continuidad con vigas | Informe de perforación por pilote</t>
  </si>
  <si>
    <t>Subcontrat. Pilotes / Fierrero</t>
  </si>
  <si>
    <t>21.A1d</t>
  </si>
  <si>
    <t>21.1d</t>
  </si>
  <si>
    <t>Vaciado pilotes f'c=21 MPa con TREMIE: introducir tremie hasta fondo, vaciar continuo extrayendo tremie gradualmente | 4 cilindros por vaciado | Registro nivel concreto c/0.5m</t>
  </si>
  <si>
    <t>CRÍTICO: tremie debe llegar al fondo antes de iniciar — NO verter directamente | Concreto f'c=21 MPa slump 18-20cm (fluido) | 4 cilindros por día | T concreto &lt;35°C | Vaciado continuo sin interrupciones</t>
  </si>
  <si>
    <t>Subcontrat. Pilotes / Concretero</t>
  </si>
  <si>
    <t>21.A1e</t>
  </si>
  <si>
    <t>21.1e</t>
  </si>
  <si>
    <t>Curado pilotes 7 días + descabece cabeza 5-10cm + preparación arranques hacia vigas de cimentación | Prueba integridad sónica PIT si lo requiere interventoría | Cilindros 7d aprobados</t>
  </si>
  <si>
    <t>Curado: cubrir boca pilote con plástico húmedo 7 días | Descabece: cortar hasta concreto sano | Arranques: doblar barras long. 90° para continuidad hacia vigas | PIT sónica: a criterio interventoría NSR-10 C.18</t>
  </si>
  <si>
    <t>Subcontrat. Pilotes / Residente</t>
  </si>
  <si>
    <t>21.A2</t>
  </si>
  <si>
    <t>Excavación manual y mecánica vigas de cimentación + ajuste cota fondo + verificación capacidad portante visual</t>
  </si>
  <si>
    <t>Capacidad portante: concepto Ing. Suelos | Fondo firme y plano ±1cm | Retiro material inapropiado a escombrera | Sin material orgánico</t>
  </si>
  <si>
    <t>Residente Obra</t>
  </si>
  <si>
    <t>21.A3</t>
  </si>
  <si>
    <t>Habilitado y armado acero Fy=420 MPa vigas cimentación: acero longitudinal + estribos | Recubrimiento libre 4cm cara suelo, 3cm cara interior</t>
  </si>
  <si>
    <t>NSR-10 C.12 | Traslapes mín. 40Ø | Estribos en zonas sísmicas | Alambre amarre #18 | Separadores mortero 4cm | Verificar antes de encofrar</t>
  </si>
  <si>
    <t>21.A3b</t>
  </si>
  <si>
    <t>21.3b</t>
  </si>
  <si>
    <t>Instalación redes embebidas bajo placa contrapiso: HS (desagüe+agua fría) + eléctricas (conduits) + gas RETTIG (ductería amarilla Ø3/4")</t>
  </si>
  <si>
    <t>Gas RETTIG: ductería amarilla certificada embebida antes del vaciado | Conduit PVC Ø3/4" eléctrico | PVC Ø4" desagüe | Acometida agua Ø1" | Tapones en extremos</t>
  </si>
  <si>
    <t>Plomero / Electricista / Gasfitero</t>
  </si>
  <si>
    <t>21.A4</t>
  </si>
  <si>
    <t>Instalación formaleta vigas cimentación: madera o metálica | Aplomada ±2mm | Encofrado lateral + verificación de nivel de vaciado</t>
  </si>
  <si>
    <t>Formaleta lateral verificada con nivel de manguera | Apuntalamiento c/0.60m | Aceite desmoldante</t>
  </si>
  <si>
    <t>21.A4r</t>
  </si>
  <si>
    <t>21.4r</t>
  </si>
  <si>
    <t>★ REVISIÓN INTERVENTORÍA pre-vaciado vigas: acero, recubrimientos, ductos, encofrado | Acta firmada obligatoria NSR-10 C.7.4</t>
  </si>
  <si>
    <t>Lista chequeo: ✓ Long. barras ✓ Traslapes ✓ Estribos ✓ Recubrimiento 4cm ✓ Ductos sujetos ✓ Encofrado aplomado | Sin acta → NO se vacía</t>
  </si>
  <si>
    <t>21.A5</t>
  </si>
  <si>
    <t>Vaciado concreto f'c=21 MPa vigas cimentación: vibrado c/30cm por capas ≤30cm | 4 cilindros por vaciado | T concreto ≤35°C</t>
  </si>
  <si>
    <t>f'c=21 MPa tremie | Vibrador sumergible Ø2" | Temperatura mín. 10°C | Registro: hora y temperatura por vaciado</t>
  </si>
  <si>
    <t>Concretero</t>
  </si>
  <si>
    <t>21.A6</t>
  </si>
  <si>
    <t>Curado vigas cimentación: curador químico en caras expuestas + cobertor plástico | Mín. 7 días | Desencofrado a 24h cara lateral</t>
  </si>
  <si>
    <t>Curador químico: aplicar inmediatamente post-vaciado | Temperatura mín. 10°C | Cilindros 7d: ≥80% f'c=21 MPa antes de iniciar placa</t>
  </si>
  <si>
    <t>21.A7</t>
  </si>
  <si>
    <t>Subbase recebo compactado e=10cm K≥90% + instalación malla electrosoldada M-131 fy=490MPa para placa contrapiso e=12cm</t>
  </si>
  <si>
    <t>Malla M-131: 15 kg/m² | Área placa/casa: 215.43 m² | Separadores plásticos 3cm | Traslape malla: mín. 30cm | Encofrado perimetral | Nivel laser</t>
  </si>
  <si>
    <t>21.A8</t>
  </si>
  <si>
    <t>Vaciado placa contrapiso f'c=21 MPa e=12cm: acabado llana manual | Pendiente 2% hacia baños | 4 cilindros | Vol: 215.43×0.12=25.85 m³/casa</t>
  </si>
  <si>
    <t>Acabado llana manual nivelada | Pendiente 2% hacia desagüe baños | Nivelar con regla vibratoria | Verificar cota ±3mm | NO helicóptero (concreto a la vista)</t>
  </si>
  <si>
    <t>21.A9</t>
  </si>
  <si>
    <t>Curado placa contrapiso mín. 7 días + inspección: curador químico + cobertor plástico | Verificar resistencia cilindros antes de muros</t>
  </si>
  <si>
    <t>Cilindros 7d: ≥80% f'c=21 MPa | Verificar nivel ±3mm | Pendiente confirmada | Redes embebidas en posición correcta | Interventoría autoriza muros P1</t>
  </si>
  <si>
    <t>21.A10</t>
  </si>
  <si>
    <t>Replanteo muros estructurales Piso 1 sobre placa contrapiso: ejes X e Y + verificación escuadría + clavado de trazos</t>
  </si>
  <si>
    <t>Ejes Y: fachada principal, división baño, muros internos | Ejes X: muro posterior, muro frontal | Plomada laser | Tolerancia ±3mm</t>
  </si>
  <si>
    <t>21.A11</t>
  </si>
  <si>
    <t>Habilitado y armado acero vertical muros Piso 1 e=10cm: doble malla Fy=420 MPa #3@200mm c.s. | Recubrimiento libre 2cm cara interior, 3cm cara exterior</t>
  </si>
  <si>
    <t>NSR-10 C.14 muros concreto | Doble malla: #3@200mm vertical y horizontal ambas caras | Bastones arranque: doblados 90° traslape ≥50cm | Sep. c/intersección</t>
  </si>
  <si>
    <t>21.A11b</t>
  </si>
  <si>
    <t>21.11b</t>
  </si>
  <si>
    <t>Sobre nivel concreto en baños Piso 1: bordillo perimetral h=5cm + pendiente 1.5% hacia sifón | f'c=21 MPa manual | ANTES de encofrar muros baño</t>
  </si>
  <si>
    <t>★ INSTALAR ANTES de formaleta muro baño | Bordillo: 8cm ancho × 5cm alto | Sifón de piso Ø2" centrado | Concreto manual mezclado en obra | NSR-10</t>
  </si>
  <si>
    <t>Maestro de Obra</t>
  </si>
  <si>
    <t>21.A12</t>
  </si>
  <si>
    <t>Instalación ductos empotrados en muros Piso 1: eléctrico conduit PVC Ø3/4" + HS bajantes PVC Ø3"-Ø4" + gas RETTIG ductería amarilla Ø3/4" + ducto coaxial Ø1"</t>
  </si>
  <si>
    <t>Gas RETTIG: ductería amarilla NO PVC negro | Coaxial: 1 ducto sala-comedor + 1 ducto alcoba principal | Tapones en extremos | Fijación c/60cm</t>
  </si>
  <si>
    <t>21.A13</t>
  </si>
  <si>
    <t>Instalación y aplomado formaleta metálica FORSA muros Piso 1: aplome ±3mm con nivel topográfico | Arriostres c/1.0m | Aceite desmoldante uniforme</t>
  </si>
  <si>
    <t>FORSA modular | Aplome: nivel topográfico | Arriostres: pie de amigo c/1.0m | Altura encofrado: h libre muro | Verificar que ductos no pellizcan</t>
  </si>
  <si>
    <t>21.A13r</t>
  </si>
  <si>
    <t>21.13r</t>
  </si>
  <si>
    <t>★ REVISIÓN INTERVENTORÍA pre-vaciado muros P1: doble malla, recubrimientos, ductos, sobre nivel baños, formaleta aplomada | Acta NSR-10 C.7.4</t>
  </si>
  <si>
    <t>Lista: ✓ Doble malla ✓ Recubr. 2cm int/3cm ext ✓ Bastones arranque losa ✓ Sobre nivel baños ✓ Ductos sujetos ✓ FORSA aplomada ±3mm | Sin acta → NO se vacía</t>
  </si>
  <si>
    <t>21.A14</t>
  </si>
  <si>
    <t>Vaciado muros Piso 1 f'c=21 MPa: vibrado c/50cm por capas ≤30cm | 4 cilindros | Concreto a la vista interior y exterior (sin pañete) | Vol: ~38.57 m³/casa</t>
  </si>
  <si>
    <t>f'c=21 MPa tremie | Muros e=10cm concreto A LA VISTA (sin pañete, sin pintura) | Capas ≤30cm | Vibrador Ø1.5" en muros | T concreto ≤35°C</t>
  </si>
  <si>
    <t>21.A15</t>
  </si>
  <si>
    <t>Curado muros Piso 1 mín. 3 días + desencofrado FORSA | Inspección: verificar cangrejeras, aplome, continuidad bastones | Reparar con mortero epoxi</t>
  </si>
  <si>
    <t>Desencofre: mín. 16h T&gt;20°C o 24h T&lt;20°C | Verificar: cangrejeras (picar + rellenar mortero reparador), aplome ±3mm, bastones libres</t>
  </si>
  <si>
    <t>21.A16</t>
  </si>
  <si>
    <t>Replanteo losa entrepiso + instalación puntales metálicos c/1.0m + vigas sopor + tablero (encofrado losa e=10cm) | Nivelación laser ±2mm</t>
  </si>
  <si>
    <t>Puntales mín. 21 días ACI 347.2R | Verificar que puntales apoyan sobre muros P1 curados | Nivelación laser: horizontal ±2mm | Tablero: triplex 18mm o metálico</t>
  </si>
  <si>
    <t>21.A17</t>
  </si>
  <si>
    <t>Habilitado y armado acero losa entrepiso e=10cm: malla doble #3@200mm c.s. + bastones perimetrales de continuidad en apoyos sobre muros</t>
  </si>
  <si>
    <t>Malla doble #3@200mm | Recubrimiento: 3cm superior e inferior | Bastones perimetrales: #3@200mm L=50cm doblados en L hacia muro | Refuerzo adicional en vanos</t>
  </si>
  <si>
    <t>21.A17b</t>
  </si>
  <si>
    <t>21.17b</t>
  </si>
  <si>
    <t>Instalación redes embebidas en losa entrepiso ANTES del vaciado: conduits eléctricos Ø3/4" + bajantes HS (PVC Ø3"-Ø4") + buitrones + punto gas P2</t>
  </si>
  <si>
    <t>Conduits: antes de vaciar | Bajante aguas negras Ø4" + grises Ø3" | Buitrón: manga PVC con tapón desmontable | Gas P2: ductería RETTIG embebida</t>
  </si>
  <si>
    <t>21.A17r</t>
  </si>
  <si>
    <t>21.17r</t>
  </si>
  <si>
    <t>★ REVISIÓN INTERVENTORÍA pre-vaciado losa entrepiso: malla, recubrimientos, ductos, puntales, bastones de continuidad | Acta NSR-10 C.7.4</t>
  </si>
  <si>
    <t>Lista: ✓ Malla doble ✓ Recubr. 3cm ✓ Bastones apoyo ✓ Ductos posición ✓ Puntales nivelados ✓ Tablero sin huecos | Sin acta → NO se vacía</t>
  </si>
  <si>
    <t>21.A18</t>
  </si>
  <si>
    <t>Vaciado losa entrepiso f'c=21 MPa e=10cm: bomba de concreto | Acabado CONCRETO A LA VISTA sin pulir (sófito inferior) | 4 cilindros | Vol: 215.43×0.10=21.54 m³/casa</t>
  </si>
  <si>
    <t>f'c=21 MPa | Acabado superior: llana manual para piso nivel 2 (concreto a la vista) | Sófito inferior: concreto a la vista | Fratachado antes de fraguar</t>
  </si>
  <si>
    <t>21.A19</t>
  </si>
  <si>
    <t>Curado losa entrepiso mín. 7 días: curador químico + cobertor plástico húmedo | Puntales permanecen 21 días (ACI 347.2R) | Cilindros 7d aprobados</t>
  </si>
  <si>
    <t>★ CRÍTICO: puntales NO se retiran antes de 21 días | Curado húmedo 7 días | Cilindros 7d: ≥80% f'c | Retiro progresivo puntales desde el centro</t>
  </si>
  <si>
    <t>21.A20</t>
  </si>
  <si>
    <t>Replanteo muros Piso 2 sobre losa entrepiso: verificar verticalidad acumulada con plomada laser | Máx. H/500 NSR-10 | Clavado de trazos</t>
  </si>
  <si>
    <t>Control verticalidad: máx. H/500 | Si supera → corrección de aplome antes de armar | Verificar eje horizontal vs. trazos P1</t>
  </si>
  <si>
    <t>21.A21</t>
  </si>
  <si>
    <t>Habilitado acero muros Piso 2: doble malla #3@200mm + traslape bastones continuidad P1→P2 (mín. 40Ø=160mm) + sobre nivel baños P2 h=5cm</t>
  </si>
  <si>
    <t>Traslape bastones: amarrar mín. 3 puntos | Sobre nivel baños P2: igual que P1 | Verificar que bastones de P1 están en posición correcta | Doble malla igual</t>
  </si>
  <si>
    <t>21.A21b</t>
  </si>
  <si>
    <t>21.21b</t>
  </si>
  <si>
    <t>Instalación ductos empotrados muros Piso 2: eléctrico + HS + gas RETTIG + continuación ducto coaxial + puntos de salida finales en cada local</t>
  </si>
  <si>
    <t>Gas: continuidad desde P1 + puntos estufa (h=0.85m) + calentador (h=1.80m) | Coaxial: puntos de salida en sala-comedor P2 y alcoba principal P2</t>
  </si>
  <si>
    <t>21.A22</t>
  </si>
  <si>
    <t>Instalación formaleta FORSA muros Piso 2 + ★ revisión interventoría + vaciado muros f'c=21 MPa (CONCRETO A LA VISTA) | 4 cilindros</t>
  </si>
  <si>
    <t>Aplome ±3mm | Revisión Interv. obligatoria antes de vaciar | f'c=21 MPa tremie | Muros e=10cm A LA VISTA sin pañete | Vibrador Ø1.5" c/50cm</t>
  </si>
  <si>
    <t>Carpintero Formaleta / Concretero / Interventoría</t>
  </si>
  <si>
    <t>21.A23</t>
  </si>
  <si>
    <t>Curado muros Piso 2 mín. 3 días + desencofrado FORSA | Inspección cangrejeras + aplome | Reparación con mortero epoxi donde aplique</t>
  </si>
  <si>
    <t>Desencofre mín. 16-24h según temperatura | Inspección: cangrejeras → picar + relleno epoxi | Aplome ±3mm | Bastones losa cubierta libres</t>
  </si>
  <si>
    <t>21.A23b</t>
  </si>
  <si>
    <t>21.23b</t>
  </si>
  <si>
    <t>Encofrado + armado acero + vaciado escalera acceso P1→P2: CP=18cm, P=28cm, ancho=1.0m, t=12cm garganta | f'c=21 MPa | Simultáneo con P2</t>
  </si>
  <si>
    <t>Escalera: h total=5.0m / CP=18cm → 14 pasos aprox. | Garganta t=12cm | Acero garganta: #3@150mm long + #3@200mm transv | Encofrado lateral + plancha peldaños</t>
  </si>
  <si>
    <t>Fierrero / Carpintero Formaleta / Concretero</t>
  </si>
  <si>
    <t>21.A24</t>
  </si>
  <si>
    <t>Encofrado losa cubierta e=10cm: puntales c/1.0m + tablero + pendiente 2% hacia bajante pluvial | Nivelación laser | Muros cubierta h=0.90m (fachada+frontal)</t>
  </si>
  <si>
    <t>Pendiente cubierta 2% OBLIGATORIA hacia bajante | Nivelación laser antes de armar acero | Muros cubierta: fachada 4.30×0.90m, frontal 1.15×0.90m (concreto a la vista)</t>
  </si>
  <si>
    <t>21.A25</t>
  </si>
  <si>
    <t>Habilitado y armado acero losa cubierta e=10cm + muros cubierta | Redes embebidas cubierta: bajante pluvial PVC Ø3" + ductos continuación</t>
  </si>
  <si>
    <t>Losa cubierta: malla doble #3@200mm | Recubrimiento 3cm | Muros cubierta: doble malla #3@200mm | Bajante pluvial: PVC Ø3" embebido en murete</t>
  </si>
  <si>
    <t>Fierrero / Plomero</t>
  </si>
  <si>
    <t>21.A25r</t>
  </si>
  <si>
    <t>21.25r</t>
  </si>
  <si>
    <t>★ REVISIÓN INTERVENTORÍA pre-vaciado losa cubierta + muros cubierta | Verificar pendiente 2% en encofrado (inamovible post-vaciado) | Acta NSR-10</t>
  </si>
  <si>
    <t>★ VERIFICAR PENDIENTE ANTES DE VACIAR: única oportunidad | Lista: ✓ Pendiente 2% ✓ Bajante posición ✓ Acero ✓ Recubrimiento ✓ Muros cubierta aplomados</t>
  </si>
  <si>
    <t>21.A26</t>
  </si>
  <si>
    <t>Vaciado losa cubierta e=10cm f'c=21 MPa + muros cubierta simultáneo | Acabado helicóptero (TERRAZA A LA VISTA) | Vol: 215.43×0.10=21.54 m³/casa</t>
  </si>
  <si>
    <t>f'c=21 MPa | Acabado helicóptero: cubierta-terraza a la vista sin cerámica | 4 cilindros | Verificar pendiente durante vaciado</t>
  </si>
  <si>
    <t>21.A27</t>
  </si>
  <si>
    <t>Curado losa cubierta 7 días: curador químico + cobertor húmedo | Puntales 21 días | Cilindros 7d aprobados → autoriza impermeabilización</t>
  </si>
  <si>
    <t>Curado 7 días obligatorio | Cilindros 7d: ≥80% f'c=21 MPa | Puntales: 21 días desde vaciado | Verificar pendiente cubierta antes de impermeabilizar</t>
  </si>
  <si>
    <t>H_A</t>
  </si>
  <si>
    <t>21.H.A</t>
  </si>
  <si>
    <t>⚑ HITO SUBFASE A: ESTRUCTURA COMPLETA 5 CASAS — 2 niveles + escalera + cubierta | Cilindros aprobados | Verticalidad H/500 verificada</t>
  </si>
  <si>
    <t>Verticalidad acumulada: máx. H/500 | Cilindros: todos ≥80% f'c a 7d | Cangrejeras reparadas | Pendiente cubierta 2% confirmada | Autoriza B+C</t>
  </si>
  <si>
    <t>21.B</t>
  </si>
  <si>
    <t>SUBFASE B — APANTALLAMIENTO (PARARRAYOS) RETIE: Sistema completo por cada casa (5 sistemas independientes)</t>
  </si>
  <si>
    <t>Sistema Franklin completo por casa: punta captora Copperweld 5/8"×2.4m + bajante alambrón cobre Ø8mm + pozo a tierra + prueba ≤10 Ω | NTC 4552-1 | RETIE Art.20</t>
  </si>
  <si>
    <t>Electricista Apantallador</t>
  </si>
  <si>
    <t>21.B1</t>
  </si>
  <si>
    <t>Instalación punta captora tipo Franklin Copperweld 5/8"×2.4m en cubierta: base metálica galvanizada + soldadura exotérmica CADWELD a bajante | h total ≥3m sobre cubierta</t>
  </si>
  <si>
    <t>Copperweld 5/8"×2.4m | Base: tubo galv. anclado en murete cubierta | Altura punta sobre cubierta: mín. 1.0m adicional | Soldadura exotérmica (NO soldadura eléctrica convencional)</t>
  </si>
  <si>
    <t>21.B2</t>
  </si>
  <si>
    <t>Tendido bajante: alambrón cobre desnudo Ø8mm desde punta captora hasta caja de inspección en base de muro | Fijado a fachada con grapas aisladas c/1.0m</t>
  </si>
  <si>
    <t>Alambrón Cu Ø8mm desnudo | Grapas aisladas de PVC c/1.0m en fachada | Sin empalmes en el recorrido (bajante continua) | Caja inspección: PVC IP65 a h=0.30m de piso</t>
  </si>
  <si>
    <t>21.B3</t>
  </si>
  <si>
    <t>Instalación electrodo de puesta a tierra: pozo 1.50m + electrodo varilla Copperweld 5/8"×1.80m + mínimo 25 kg sal + bentonita | Conexión soldadura exotérmica al bajante</t>
  </si>
  <si>
    <t>Pozo: Ø0.30m × 1.50m prof. | Electrodo: varilla Copperweld 5/8"×1.80m | Bentonita: 25 kg | Soldadura exotérmica bajante-electrodo | NTC 4552 + NTC 2050</t>
  </si>
  <si>
    <t>21.B4</t>
  </si>
  <si>
    <t>Prueba de resistencia de puesta a tierra ≤10 ohmios por casa con telurómetro | Generar acta por casa con valor medido | Corrección si supera 10 Ω</t>
  </si>
  <si>
    <t>Telurómetro digital 4 terminales | Método 3 puntas (Wenner) | Tolerancia: ≤10 Ω (RETIE + NTC 4552) | Si supera: agregar más bentonita o segundo electrodo | Acta firmada</t>
  </si>
  <si>
    <t>H_B</t>
  </si>
  <si>
    <t>21.H.B</t>
  </si>
  <si>
    <t>⚑ HITO SUBFASE B: APANTALLAMIENTO RETIE — 5 sistemas instalados | Prueba ≤10 Ω aprobada en las 5 casas | Actas firmadas</t>
  </si>
  <si>
    <t>5 actas de resistencia tierra ≤10 Ω | Certificado RETIE Art.20 por electricista apantallador matriculado</t>
  </si>
  <si>
    <t>Interventoría / Electricista</t>
  </si>
  <si>
    <t>21.C</t>
  </si>
  <si>
    <t>SUBFASE C — IMPERMEABILIZACIÓN CUBIERTA + MAMPOSTERÍA + FACHADA + INSTALACIONES MEP DEFINITIVAS + TANQUE 500L</t>
  </si>
  <si>
    <t>Impermeabilización losa cubierta | Mampostería no estructural | Fachada ladrillo vista (principal) + graniplast (laterales+trasera) | MEP completo | Tanque 500L/casa</t>
  </si>
  <si>
    <t>21.C1</t>
  </si>
  <si>
    <t>Impermeabilización losa cubierta-terraza a la vista: membrana acrílica Sikafill o asfáltica 2 manos (0.5 kg/m²/mano) | Prueba de inundación 48h</t>
  </si>
  <si>
    <t>1ª mano: 0.5 kg/m² fondo texturado | Esperar 24h | 2ª mano: 0.5 kg/m² acabado | Total: 1.0 kg/m² × 215.43 m² = 215 kg/casa | Impermeabilizar también muretes cara interior superior</t>
  </si>
  <si>
    <t>21.C1b</t>
  </si>
  <si>
    <t>21.27b</t>
  </si>
  <si>
    <t>Prueba de inundación cubierta 48h: taponar bajante + acumular 5cm agua + inspeccionar por debajo (sófito) a las 48h | Sin manchas = APROBADO</t>
  </si>
  <si>
    <t>★ OBLIGATORIA | Acumular 5cm agua sobre cubierta | Inspeccionar sófito de la losa desde abajo | Si hay manchas: localizar, reparar, repetir | Acta firmada interventoría</t>
  </si>
  <si>
    <t>21.C2</t>
  </si>
  <si>
    <t>Sobre niveles de concreto en baños P1 y P2 para aparatos sanitarios: bordillo + sobre nivel completo h=5cm | Pendiente 1.5% hacia sifón de piso</t>
  </si>
  <si>
    <t>NOTA: sobre nivel P1 ya se hizo en 21.A11b (antes del vaciado de muros) | Este ítem: sobre nivel P2 + verificar P1 | Concreto f'c=21 MPa | Sifón centrado</t>
  </si>
  <si>
    <t>21.C3</t>
  </si>
  <si>
    <t>Mampostería no estructural interna (divisiones): bloque No.5 mortero 1:4 | Verificar plomada y nivel cada hilada | Humedecer bloques antes de pegar</t>
  </si>
  <si>
    <t>Bloque No.5 (12cm) | Mortero 1:4 | Junta 1cm | Plomada c/hilada | Humedecer bloques 30min antes | Trabado en esquinas | Separación de muros estructurales: junta 1cm rellena con silicona</t>
  </si>
  <si>
    <t>Maestro Mampostería</t>
  </si>
  <si>
    <t>21.C4</t>
  </si>
  <si>
    <t>Columnetas en vanos de mampostería + dinteles sobre vanos: acero #3 longitudinal + estribos #2@150mm + concreto f'c=21 MPa</t>
  </si>
  <si>
    <t>Columnetas: 0.10×0.10m | Acero: 4#3 + estribos #2@150mm | Dintel: ancho vano + 30cm apoyo c/lado | Concreto vaciado manual | NSR-10 E.3.5 no estructurales</t>
  </si>
  <si>
    <t>Fierrero / Concretero</t>
  </si>
  <si>
    <t>21.C5</t>
  </si>
  <si>
    <t>Fachada PRINCIPAL ladrillo a la vista: ladrillo tolete 24×12×6cm | Mortero 1:3 junta 1cm con crucetas | Limpieza ácido muriático 10% | NO pintura</t>
  </si>
  <si>
    <t>Ladrillo cara vista: sin pañete, sin pintura | Junta 1cm uniforme con crucetas | Mortero 1:3 | Rejunte: mortero gris | Limpieza final: ácido muriático 10% + enjuague abundante</t>
  </si>
  <si>
    <t>21.C6</t>
  </si>
  <si>
    <t>Fachada LATERALES + TRASERA graniplast: pañete base mortero 1:3 e=1.5cm + imprimante acrílico + 2 manos graniplast | Color según diseño arquitectónico</t>
  </si>
  <si>
    <t>Pañete base 1.5cm fratasado fino + secado 24h | Imprimante acrílico 1 mano | Graniplast: 1ª mano fondo 0.7 kg/m² + 24h + 2ª mano acabado 1.0 kg/m² | T: 10-35°C | Sin lluvia</t>
  </si>
  <si>
    <t>Subcontr. Graniplast</t>
  </si>
  <si>
    <t>21.C7</t>
  </si>
  <si>
    <t>Instalaciones eléctricas y telecomunicaciones definitivas: tablero monofásico 8 ctos + GFCI baños + citófono digital + ★4 PUNTOS TV coaxial (sala P1+alcoba ppal P1+alcoba sec P1+sala P2) + ★2 PUNTOS TELÉFONO tipo A y B (sala P1+alcoba ppal P1) en conduit 1"</t>
  </si>
  <si>
    <t>Tablero 8 ctos 120V monofásico + DPS + diferencial 30mA | ★TV OBLIGATORIO: 4 salidas coaxiales | ★TELÉFONO OBLIGATORIO: 2 ductos Conduit 1" tipo A y B con jalador No.18 | Certificación RETIE por ORGANISMO ACREDITADO ONAC (requiere dictamen)</t>
  </si>
  <si>
    <t>21.C8</t>
  </si>
  <si>
    <t>Instalaciones hidrosanitarias definitivas: agua fría Ø1/2 CPVC + agua caliente SOLO ducha Ø1/2 CPVC | Bajantes aguas negras Ø4 + grises Ø3 | ★PUNTOS LAVADORA en zona de ropas (punto agua fría + llave de corte + desagüe Ø2 + sifón) | Prueba hidrostática 1.5 kg/cm² / 2h</t>
  </si>
  <si>
    <t>Agua fría: CPVC Ø1/2 | Agua caliente: SOLO ducha (calentador paso instantáneo) | ★LAVADORA OBLIGATORIO: punto agua fría Ø1/2 + llave de corte + punto desagüe Ø2 + sifón en zona de ropas | Prueba hidrostática: 1.5 kg/cm² / 2h | Acta firmada interventoría</t>
  </si>
  <si>
    <t>21.C9</t>
  </si>
  <si>
    <t>Instalación red de gas tubería embebida + puntos definitivos estufa 4 puestos h=0.85m + calentador h=1.80m | Válvulas esfera + conectores flex RETTIG</t>
  </si>
  <si>
    <t>Red gas: ductería RETTIG ya embebida → puntos salida + válvula esfera Ø3/4" + conector flexible RETTIG aprobado (max 1.50m) | Calentador: paso h=1.80m | Estufa: h=0.85m</t>
  </si>
  <si>
    <t>Gasfitero certificado RETTIG</t>
  </si>
  <si>
    <t>21.C10</t>
  </si>
  <si>
    <t>Instalación tanque 500L por casa: polietileno + flotador automático + llave de corte + válvula check anti-retorno + tubería conexión acometida acueducto Ø3/4"</t>
  </si>
  <si>
    <t>Tanque 500L: polietileno alimentario | Flotador: bola PVC automático | Conexión acometida: Ø3/4" desde caja contador | Válvula check: evita retorno a red pública</t>
  </si>
  <si>
    <t>21.C10b</t>
  </si>
  <si>
    <t>21.36b</t>
  </si>
  <si>
    <t>Prueba hermeticidad red de gas: presurizar 1.5 kg/cm² con N₂ durante 24 horas (RETTIG NTC 3631 §8) | Verificar uniones con agua jabonosa | Acta firmada</t>
  </si>
  <si>
    <t>★ OBLIGATORIA RETTIG | 1.5 kg/cm² N₂ durante 24h | Tolerancia: caída &lt;0.1 kg/cm² = APROBADO | Agua jabonosa en cada unión | Acta: gasero certificado + interventoría | Por casa</t>
  </si>
  <si>
    <t>H_C</t>
  </si>
  <si>
    <t>21.H.C</t>
  </si>
  <si>
    <t>⚑ HITO SUBFASE C: CUBIERTA + FACHADA + MEP COMPLETOS — Prueba inundación 48h OK | Gas 24h OK | Fachada ladrillo+graniplast terminada</t>
  </si>
  <si>
    <t>Verificar: impermeabilización sin goteras 48h, gas 1.5 kg/cm² 24h aprobado, fachada ladrillo plomada, graniplast sin fisuras, tanque operativo</t>
  </si>
  <si>
    <t>21.C11</t>
  </si>
  <si>
    <t>LOCAL COMERCIAL PISO 1: Decisión acabados (GERENCIA) | OpA: SIN acabados (concreto vista + 4 tomas + punto agua + desagüe) | OpB: CON acabados (enchape 40x40cm + pintura + 6 tomas + luminaria + puerta enrollable/vitrina)</t>
  </si>
  <si>
    <t>DECISIÓN GERENCIA antes de iniciar | SIN acabados: piso concreto vista + 4 tomas 120V + 1 punto agua + 1 desagüe | CON acabados: enchape 40x40cm + pintura latex 2 manos + 6 tomas + luminaria colgante</t>
  </si>
  <si>
    <t>Res. Acabados / Gerencia</t>
  </si>
  <si>
    <t>21.D</t>
  </si>
  <si>
    <t>SUBFASE D — ACABADOS: Enchapes + Pisos Concreto a la Vista + Carpintería + Muebles + Sanitarios + Aparatos</t>
  </si>
  <si>
    <t>Enchapes: SOLO baños (piso+muro) + escaleras + salpicadero cocina | Pisos sala/alcobas: CONCRETO A LA VISTA sin enchape sin pulir sin pintura</t>
  </si>
  <si>
    <t>21.D1</t>
  </si>
  <si>
    <t>Enchape pisos baños P1 y P2: cerámica nacional antideslizante 30x30cm NAC3 | Pendiente 1.5% hacia sifón | Fragua gris 2-4mm</t>
  </si>
  <si>
    <t>Cerámica nacional antideslizante | Pendiente 1.5% verificada con nivel laser | Fragua gris | Pegante flexible | Sifón de piso centrado</t>
  </si>
  <si>
    <t>21.D2</t>
  </si>
  <si>
    <t>Enchape muros ducha P1 y P2: cerámica nacional 20x30cm hasta h=1.80m | Enchape sobre mueble lavamanos h=20cm | Fragua blanca epóxica en ducha</t>
  </si>
  <si>
    <t>Ducha: 1.80m altura mín. | Lavamanos: franja 20cm sobre mueble | Fragua epóxica: ducha (resistente humedad) | Fragua blanca convencional: lavamanos</t>
  </si>
  <si>
    <t>21.D3</t>
  </si>
  <si>
    <t>DIFERENCIA OBLIGATORIA: Salpicadero MESON COCINA ceramica h=40cm MINIMO x L=1.50m | Enchape LAVADERO h=30cm cara posterior y lateral | Fragua blanca | Pegante flexible</t>
  </si>
  <si>
    <t>Meson cocina = 40cm minimo segun especificacion | Lavadero = 30cm | Salpicadero: 1.50m x 0.40m = 0.60m2/casa | Lavadero: franja 30cm cara posterior + cara lateral del aparato</t>
  </si>
  <si>
    <t>21.D4</t>
  </si>
  <si>
    <t>Enchape escaleras acceso P1→P2: gres o cerámica 30x30cm antideslizante en huella + contrahuela de gres lisa</t>
  </si>
  <si>
    <t>Huella: gres antideslizante 30x30cm | Contrahuella: cerámica lisa tono igual o contrastante | Fragua gris | Tornachina en borde huella</t>
  </si>
  <si>
    <t>21.D5</t>
  </si>
  <si>
    <t>ESPECIFICACION: Pisos sala, comedor, alcobas, pasillos y cocina = CONCRETO A LA VISTA sin enchape, sin pulir, sin pintura</t>
  </si>
  <si>
    <t>NO se ejecuta ninguna actividad de enchape en estas áreas | El concreto de la placa vaciada queda como piso terminado | Verificar en inspección final</t>
  </si>
  <si>
    <t>21.D6</t>
  </si>
  <si>
    <t>Mueble inferior cocina RH melamínico: 3 puertas + 1 entrepaño + color chantilly | Mesón acero inoxidable calibre 20 L=1.50m + lavaplatos empotrado con 1 llave</t>
  </si>
  <si>
    <t>Mueble melamínico RH 3 puertas + 1 entrepaño | Color: chantilly | Mesón: acero inox. cal.20 L=1.50m | Lavaplatos: empotrado con 1 llave mezcladora</t>
  </si>
  <si>
    <t>Carpintero Madera</t>
  </si>
  <si>
    <t>21.D7</t>
  </si>
  <si>
    <t>Instalación aparatos sanitarios: sanitario integral + lavamanos pedestal + ducha sencilla con mezclador + jabonera embutida + toallero + papelera fija</t>
  </si>
  <si>
    <t>Sanitario integral: llave de corte 1/2 | Lavamanos pedestal: silicona perimetral | Ducha: mezclador sencillo + cabezal | Incrustaciones: jabonera, toallero, papelera en porcelana</t>
  </si>
  <si>
    <t>21.D2-21.D1</t>
  </si>
  <si>
    <t>21.D8</t>
  </si>
  <si>
    <t>Carpintería metálica + aluminio: ventanería aluminio 4mm (sala+alcobas), 5mm fachada principal | Puerta acceso cal.22 blanca | Celosía aluminio vano escaleras | Baranda terraza acero+platina</t>
  </si>
  <si>
    <t>Ventanas: aluminio natural + vidrio 4mm (interiores) y 5mm (fachada principal) | Puerta acceso: cal.22 blanca con chapa de seguridad | Baranda terraza: tubo 1.5 + platina horizontal c/0.15m | H baranda: 1.10m min</t>
  </si>
  <si>
    <t>Carpintero Metálico / Aluminiero</t>
  </si>
  <si>
    <t>21.D8b</t>
  </si>
  <si>
    <t>21.44b</t>
  </si>
  <si>
    <t>Instalación pasamanos ESCALERA INTERIOR P1-P2: tubo metálico 1.5in h=0.90m + platinas verticales c/0.15m + pernos Hilti + anticorrosivo + 2 manos esmalte | NSR-10 Título K OBLIGATORIO</t>
  </si>
  <si>
    <t>NSR-10 Título K obligatorio | H=0.90m desde nariz peldaño | Platinas c/0.15m | Anclaje Hilti expansion | Anticorrosivo + esmalte | Confirmar con gerencia si aplica inox o metalico</t>
  </si>
  <si>
    <t>Carpintero Metálico</t>
  </si>
  <si>
    <t>21.D9</t>
  </si>
  <si>
    <t>Carpintería madera: marcos madera + puerta MDF baños (cada nivel) + puertas interiores alcobas + closet empotrado alcoba principal</t>
  </si>
  <si>
    <t>Marco: pino o cedro | Puerta MDF: tablex recubierto melamínico blanco | Cerraduras: palanca + pasador baños | Closet: melamínico 2 puertas correderas + 1 entrepaño</t>
  </si>
  <si>
    <t>21.D10</t>
  </si>
  <si>
    <t>Instalación estufa 4 puestos a gas + calentador paso a gas: conexión a puntos gas ya instalados | Verificar presión mín. 0.4 kg/cm² en punto de conexión</t>
  </si>
  <si>
    <t>Estufa: 4 quemadores, encendido piezoeléctrico | Calentador: paso instantáneo a gas, sin tanque | Conexión: conector flex RETTIG aprobado | Presión: verificar con manómetro</t>
  </si>
  <si>
    <t>21.C9-21.D6</t>
  </si>
  <si>
    <t>21.D11</t>
  </si>
  <si>
    <t>DECISION GERENCIA: Instalación lavadero — ESPECIFICACION dice CONCRETO (base completa en concreto + sifón + rejilla + llave terminal) | CONFIRMAR material antes de comprar</t>
  </si>
  <si>
    <t>INCONSISTENCIA A RESOLVER: Especificacion dice lavadero con base completa en CONCRETO | Coordinar con gerencia antes de comprar | Dejar constancia en acta si cambia a fibra de vidrio</t>
  </si>
  <si>
    <t>H_D</t>
  </si>
  <si>
    <t>21.H.D</t>
  </si>
  <si>
    <t>HITO SUBFASE D: ACABADOS COMPLETOS — Enchapes, carpintería, sanitarios y aparatos instalados | Pisos concreto a la vista verificados</t>
  </si>
  <si>
    <t>Verificar: enchapes sin celdas huecas (percutir), carpintería correcta, sanitarios sin fugas, estufa/calentador operativos, PISOS CONCRETO A LA VISTA SIN MODIFICACION</t>
  </si>
  <si>
    <t>Pruebas finales por casa (20 actas = 4 pruebas x 5 casas): (1) Hidrostática HS 1.5 kg/cm2/2h | (2) DICTAMEN RETIE por INSPECTOR ORGANISMO ACREDITADO ONAC | (3) CERTIFICADO CONFORMIDAD GAS RETTIG 1.5 kg/cm2/24h | (4) Tierra pararrayos &lt;= 10 Ohm</t>
  </si>
  <si>
    <t>(1) HS: manómetro 1.5 kg/cm2 / 2h sin caída | (2) RETIE CRITICO: requiere INSPECTOR DE ORGANISMO ACREDITADO ONAC — prerrequisito legal para conexion EPM/CHEC | (3) GAS: 1.5 kg/cm2 N2 durante 24h + CERTIFICADO CONFORMIDAD GAS por entidad certificadora RETTIG | (4) Tierra: telurometro &lt;=10 Ohm</t>
  </si>
  <si>
    <t>Dir. Calidad / Interventoría</t>
  </si>
  <si>
    <t>21.E2</t>
  </si>
  <si>
    <t>21.48</t>
  </si>
  <si>
    <t>Aseo fino interior + exterior: pisos concreto (agua+jabón neutro) + vidrios + sanitarios + fachada ladrillo (lavado seco) + cubierta (retiro escombros)</t>
  </si>
  <si>
    <t>Pisos concreto a la vista: agua + jabón neutro (NO ácidos) | Vidrios: limpiavidrios | Lavadero + sanitarios | Fachada ladrillo: cepillo seco | Cubierta: retiro completo de escombros</t>
  </si>
  <si>
    <t>21.E3</t>
  </si>
  <si>
    <t>21.49</t>
  </si>
  <si>
    <t>Inspección final interventoría + punch list 30 ítems por casa: estructura visible, cubierta impermeabilizada, fachada, MEP, enchapes, concreto a la vista, carpintería, apantallamiento</t>
  </si>
  <si>
    <t>30 ítems: Muros concreto a la vista sin pañete | Pisos concreto sin enchape | Cubierta impermeabilizada 48h | Fachada ladrillo+graniplast | Enchape ducha 1.80m | Gas 24h | Tierra &lt;=10 Ohm | Baranda 1.10m | Tanque 500L | Citófono</t>
  </si>
  <si>
    <t>21.E4</t>
  </si>
  <si>
    <t>21.51</t>
  </si>
  <si>
    <t>Corrección observaciones punch list + 2° aseo + dossier fotográfico (20 fotos/casa) + protocolo entrega: actas, llaves (2 juegos), manual usuario</t>
  </si>
  <si>
    <t>Dossier: planos as-built + 4 actas de pruebas + apantallamiento RETIE + manual mantenimiento (cubierta anual, gas mensual, tierra bianual) | 2 juegos de llaves | Entrega a gerencia</t>
  </si>
  <si>
    <t>H_F21</t>
  </si>
  <si>
    <t>21.H</t>
  </si>
  <si>
    <t>HITO FINAL F21: 5 CASAS VIS COMPLETAS — Cumpliendo 100% especificaciones del proyecto</t>
  </si>
  <si>
    <t>Cubierta losa e=10cm impermeabilizada terraza a la vista | Muros concreto a la vista sin pañete | Pisos concreto a la vista SIN enchape (excepto banos+escaleras) | Fachada ladrillo vista (principal) + graniplast (laterales+trasera) | Apantallamiento RETIE &lt;=10 Ohm | Gas 24h + HS 2h + RETIE | Tanque 500L | Citofono</t>
  </si>
  <si>
    <t>DURACION TOTAL F21: 85d | ESPECIFICACIONES CLAVE: Muros concreto a la vista sin pañete | Pisos sala/alcobas/cocina/pasillos: concreto a la vista sin enchape | Cubierta-terraza: losa e=10cm impermeabilizada | Fachada: ladrillo cara vista (principal) + graniplast 2 manos (laterales+trasera) | Apantallamiento RETIE: &lt;=10 Ohm | Gas: prueba 24h | HS: prueba 2h | RETIE: dictamen inspector ONAC</t>
  </si>
  <si>
    <t/>
  </si>
  <si>
    <t>F22</t>
  </si>
  <si>
    <t>22</t>
  </si>
  <si>
    <t>FASE 22 — URBANISMO INTEGRAL | ★ 3 FRENTES PARALELOS desde 20/01/2027 | Redes Húmedas + Redes Secas + Cerramiento+Andenes+Vía+Zonas Verdes (500 m²) | Vía MDC-19 (1.200 m²)</t>
  </si>
  <si>
    <t>★ FRENTES PARALELOS OBLIGATORIOS: F22A (ing.hidrosanitario) + F22B (ing.eléctrico+MEP) + F22G (civil) arrancan SIMULTÁNEAMENTE el 20/01/2027 | Coordinación semanal obligatoria Dir. Obra | PMBOK 7 + NSR-10 + RAS 2000 + RETIE + Decreto 1079 + Ley 361</t>
  </si>
  <si>
    <t>🔵 SECCIÓN 1 — REDES HÚMEDAS: Acueducto Ø4" (160 ml) + Alcantarillado Sanitario Ø6" (180 ml) + Pluvial Ø8" (150 ml) + 8 Pozos Ø1.0m + 12 Sumideros | RAS 2000 / Res.0330/2017 | INICIO: 20/01/2027</t>
  </si>
  <si>
    <t>F22A</t>
  </si>
  <si>
    <t>22A</t>
  </si>
  <si>
    <t>REDES HÚMEDAS — Acueducto+Alcantarillado Sanitario+Alcantarillado Pluvial | 490 ml redes + 8 pozos inspección + 12 sumideros | RAS 2000 | ★ PARALELO con F22B y F22G</t>
  </si>
  <si>
    <t>Acueducto: ~160 ml PVC Ø4" RDE-21 PN10 | Sanitario: ~180 ml PVC Ø6" + 8 pozos Ø1.0m | Pluvial: ~150 ml PVC Ø8" Novafort + 12 sumideros cajón | Vol total excavación: ~456 m³</t>
  </si>
  <si>
    <t>RH.GEST</t>
  </si>
  <si>
    <t>22A.0</t>
  </si>
  <si>
    <t>★ GESTIÓN DÍA 1: solicitud disponibilidad de servicios + solicitud matrícula acueducto/alcantarillado ante empresa pública (Serviciudad/EMAS Dosquebradas) + solicitud permiso vertimientos CARDER si descarga a quebrada</t>
  </si>
  <si>
    <t>GESTIÓN PARALELA DÍA 1 OBLIGATORIA | Ley 142/1994 + RAS 2000 | Plazo empresa: 15-30 días calendario | Si descarga pluvial a cuerpo hídrico → Decreto 1076/2015 CARDER (permiso vertimientos) | Sin matrícula no hay conexión definitiva</t>
  </si>
  <si>
    <t>Ing. HS / Gerencia</t>
  </si>
  <si>
    <t>RH.1</t>
  </si>
  <si>
    <t>22A.1</t>
  </si>
  <si>
    <t>Replanteo topográfico de todas las redes: trazado de zanjas acueducto, sanitario y pluvial según planos HS aprobados | Cotas de profundidad mín. y pendientes verificadas</t>
  </si>
  <si>
    <t>Profundidad mín.: acueducto 1.0m, sanitario 1.20m, pluvial 1.0m | Pendiente sanitario: mín. 1% (velocidad ≥0.6 m/s autolimpiante) | Pluvial: mín. 0.5% | Señalizar con estacas y cinta reflectiva</t>
  </si>
  <si>
    <t>Topógrafo / Ing. HS</t>
  </si>
  <si>
    <t>RH.2</t>
  </si>
  <si>
    <t>22A.2</t>
  </si>
  <si>
    <t>Excavación zanjas acueducto Ø4": ~160 ml × 0.60m ancho × 1.0m prof. = 96 m³ | Cama arena fina 10cm en fondo | Retiro material a escombrera autorizada | Señalización SISO</t>
  </si>
  <si>
    <t>Vol. excavación acueducto: 96 m³ | Cama arena fina e=10cm antes de instalar tubería | Señalización: cinta + caballetes cada 10m | Apuntalamiento lateral si terreno suelto</t>
  </si>
  <si>
    <t>Res. / Op. Retro</t>
  </si>
  <si>
    <t>RH.3</t>
  </si>
  <si>
    <t>22A.3</t>
  </si>
  <si>
    <t>Excavación zanjas sanitario Ø6": ~180 ml × 0.80m × 1.50m prof. = 216 m³ | Cama arena 10cm | 8 pozos inspección Ø1.0m (excavación Ø1.20m × 2.0m prof. c/u) | Verificar nivel freático</t>
  </si>
  <si>
    <t>Vol. excavación sanitario: 216 m³ | 8 pozos: excavación puntual Ø1.20m × 2.0m prof. | Verificar nivel freático antes de excavar | ★ Cota zanja sanitario bajo calzada: garantizar recubrimiento mínimo sobre tubería cuando se instale vía</t>
  </si>
  <si>
    <t>RH.4</t>
  </si>
  <si>
    <t>22A.4</t>
  </si>
  <si>
    <t>Excavación zanjas pluvial Ø8": ~150 ml × 0.80m × 1.20m prof. = 144 m³ | 12 sumideros cajón 0.50×0.50×0.80m (excavación manual) | Total excavación redes húmedas: ~456 m³</t>
  </si>
  <si>
    <t>Vol. excavación pluvial: 144 m³ | Sumideros: excavación manual puntual | Total: 456 m³ retiro a escombrera | Plan de manejo tráfico provisional si afecta acceso al conjunto</t>
  </si>
  <si>
    <t>H_RH.1</t>
  </si>
  <si>
    <t>22A.H1</t>
  </si>
  <si>
    <t>⚑ HITO RH-1: ZANJAS EXCAVADAS — Cotas y profundidades verificadas por topógrafo | Camas de arena instaladas | Autoriza instalación tuberías</t>
  </si>
  <si>
    <t>Interventoría verifica: profundidades mín., pendientes (sin contra-pendientes), camas de arena 10cm, señalización SISO activa | Acta firmada antes de instalar cualquier tubería</t>
  </si>
  <si>
    <t>RH.5</t>
  </si>
  <si>
    <t>22A.5</t>
  </si>
  <si>
    <t>Instalación tubería PVC Ø4" RDE-21 PN10 acueducto: ~160 ml | Uniones espigo-campana + lubricante aprobado | Codos y tees según plano | Sin uniones en zona de cruce</t>
  </si>
  <si>
    <t>PVC Ø4" RDE-21 PN10 | Prueba hidrostática por tramos cada 50 ml ANTES de rellenar | Cinta señalizadora azul 30cm sobre tubería | En cruces con otras redes: usar manga protectora</t>
  </si>
  <si>
    <t>RH.5b</t>
  </si>
  <si>
    <t>22A.5b</t>
  </si>
  <si>
    <t>★ NUEVA — Desinfección red de acueducto: lavado con hipoclorito NaOCl 50 ppm durante 12h + vaciado + prueba residual ≤0.3 mg/L | NTC 813 + Res. 2115/2007</t>
  </si>
  <si>
    <t>RAS 2000 Título B + Res. 2115/2007 OBLIGATORIO antes de conexión a red pública | Concentración: 50 ppm hipoclorito | Tiempo contacto: mínimo 12h | Acta firmada empresa acueducto + interventoría | Sin desinfección aprobada = NO se conecta</t>
  </si>
  <si>
    <t>Plomero / Empresa Acueducto</t>
  </si>
  <si>
    <t>RH.6</t>
  </si>
  <si>
    <t>22A.6</t>
  </si>
  <si>
    <t>Instalación ramales acometida Ø2" por unidad (casas, parqueadero, locales, torre) con válvula de corte + caja de medidores empotrada en muro</t>
  </si>
  <si>
    <t>Ramal Ø2" c/válvula compuerta + reductor | Caja medidores: 1 por unidad empotrada en muro perimetral | Coordinar con empresa acueducto para instalar contadores | Dejar tapones provisionales hasta matrícula definitiva</t>
  </si>
  <si>
    <t>RH.7</t>
  </si>
  <si>
    <t>22A.7</t>
  </si>
  <si>
    <t>Prueba hidrostática acueducto: 1.5 × P trabajo = 7.5 kg/cm² durante 2 horas por tramo | Acta de aprobación firmada por tramo | RAS 2000</t>
  </si>
  <si>
    <t>Manómetro certificado | Tolerancia: caída &lt;0.2 kg/cm² en 2h | RAS 2000 / Res. 0330/2017 | Sin aprobación NO se rellena zanja | Prueba por tramos de 50ml | Acta firmada plomero + interventoría</t>
  </si>
  <si>
    <t>Plomero / Interventoría</t>
  </si>
  <si>
    <t>H_RH.2</t>
  </si>
  <si>
    <t>22A.H2</t>
  </si>
  <si>
    <t>⚑ HITO RH-2: RED ACUEDUCTO Ø4" INSTALADA, DESINFECTADA Y PROBADA — 160 ml aprobados | Actas firmadas por tramo | Autoriza relleno tramos acueducto</t>
  </si>
  <si>
    <t>Verificar: prueba hidrostática ≥7.5 kg/cm²/2h por tramo + desinfección NaOCl aprobada | Sin este hito no se rellena ningún tramo de acueducto</t>
  </si>
  <si>
    <t>RH.8</t>
  </si>
  <si>
    <t>22A.8</t>
  </si>
  <si>
    <t>Instalación tubería PVC Ø6" sanitario: ~180 ml | Pendiente 1.0-1.5% verificada con nivel topográfico c/10m | Anclajes en cambios de dirección | Tapones provisionales</t>
  </si>
  <si>
    <t>PVC Ø6" sanitario | Pendiente verificada nivel óptico c/10m | Anclajes: bloque concreto en codos y tees | Tapones provisionales en extremos | Verificar que v ≥0.6 m/s (autolimpiante) con Q diseño RAS 2000</t>
  </si>
  <si>
    <t>RH.9</t>
  </si>
  <si>
    <t>22A.9</t>
  </si>
  <si>
    <t>Construcción 8 pozos de inspección Ø1.0m: fondo concreto f'c=21MPa + anillos prefab. + media caña + tapa HF fundida + escalerilla acero galvanizado</t>
  </si>
  <si>
    <t>Fondo pozo: 10cm concreto f'c=21MPa | Anillos prefab. Ø1.0m | Media caña en fondo para flujo | Tapa HF Ø60cm + marco | Escalerilla: ángulo 1" @ 30cm | Verificar nivelación tapa con nivel de terreno terminado</t>
  </si>
  <si>
    <t>Albañil / Plomero</t>
  </si>
  <si>
    <t>RH.10</t>
  </si>
  <si>
    <t>22A.10</t>
  </si>
  <si>
    <t>Prueba de infiltración red sanitaria: llenar por tramos entre pozos | Pérdida máx. 0.5 L/h/m (RAS 2000) | Acta por tramo antes de rellenar</t>
  </si>
  <si>
    <t>RAS 2000 / Res. 0330/2017 | Llenar tramo con agua + registrar nivel cada 30min durante 1h | Si supera 0.5 L/h/m: localizar fuga, reparar, repetir | Acta firmada antes de rellenar zanja</t>
  </si>
  <si>
    <t>H_RH.3</t>
  </si>
  <si>
    <t>22A.H3</t>
  </si>
  <si>
    <t>⚑ HITO RH-3: RED SANITARIA Ø6" + 8 POZOS TERMINADOS — Prueba infiltración ≤0.5 L/h/m aprobada por interventoría | Autoriza relleno sanitario</t>
  </si>
  <si>
    <t>Verificar: prueba infiltración aprobada por tramo + pozos con tapa HF nivelada + media caña instalada | Acta firmada interventoría</t>
  </si>
  <si>
    <t>RH.10b</t>
  </si>
  <si>
    <t>22A.10b</t>
  </si>
  <si>
    <t>★ NUEVA — Gestión permiso de vertimientos / empalme colector municipal: coordinación con empresa alcantarillado para conexión definitiva + autorización descarga | CARDER si aplica</t>
  </si>
  <si>
    <t>Ley 142/1994 + Decreto 1076/2015 + RAS 2000 | Si descarga a quebrada: permiso vertimientos CARDER (iniciar 30 días antes) | Si descarga a colector municipal: certificado disponibilidad + acta empalme empresa prestadora | Sin empalme aprobado no hay conexión definitiva</t>
  </si>
  <si>
    <t>RH.11</t>
  </si>
  <si>
    <t>22A.11</t>
  </si>
  <si>
    <t>Instalación tubería PVC Novafort Ø8" pluvial: ~150 ml | Pendiente 0.5-1.0% | Velocidad mín. 0.6 m/s autolimpiante | Conexión a colector público o cuerpo receptor autorizado</t>
  </si>
  <si>
    <t>PVC Ø8" Novafort doble pared | Pendiente mín. 0.5% para v ≥0.6 m/s | Cinta señalizadora gris 30cm sobre tubería | Verificar pendiente topógrafo c/15m | Coordinado con permiso vertimientos (RH.10b)</t>
  </si>
  <si>
    <t>RH.12</t>
  </si>
  <si>
    <t>22A.12</t>
  </si>
  <si>
    <t>Construcción 12 sumideros tipo cajón 0.50×0.50×0.80m: mampostería + fondo concreto + rejilla metálica galvanizada + tubería Ø6" conexión | Trampa sedimentos</t>
  </si>
  <si>
    <t>Cuerpo: mampostería bloque #3 | Fondo concreto 10cm | Rejilla: fundida HF o galv. con ≥5cm luz | Trampa sedimentos h=20cm fondo | Conexión Ø6" con sello hidráulico | Ubicar en puntos bajos según topografía</t>
  </si>
  <si>
    <t>RH.12b</t>
  </si>
  <si>
    <t>22A.12b</t>
  </si>
  <si>
    <t>★ NUEVA — Levantamiento planos récord (as-built) redes húmedas ANTES DE RELLENAR: georreferenciación de toda la red con estación total | Dibujo en planos aprobados | Inventariar pozos y sumideros</t>
  </si>
  <si>
    <t>OBLIGATORIO antes del relleno | Sin as-built interventoría puede rechazar el dossier de entrega | Georreferenciación: puntos X,Y,Z de cambios de dirección, acometidas, pozos y sumideros | Planos entregados en DWG + PDF firmados</t>
  </si>
  <si>
    <t>RH.13</t>
  </si>
  <si>
    <t>22A.13</t>
  </si>
  <si>
    <t>Relleno y compactación zanjas redes húmedas: recebo b-600 capas 20cm K≥95% Proctor | Cinta señalizadora por color (azul=acueducto, verde=sanitario, gris=pluvial) | Reposición provisional</t>
  </si>
  <si>
    <t>Recebo b-600 compactado | Capas 20cm max | K≥95% Proctor | Cintas señalizadoras 30cm sobre cada red | Reposición provisional de superficie para tránsito | Compactación verificada por laboratorio c/50m</t>
  </si>
  <si>
    <t>Res. / Lab.</t>
  </si>
  <si>
    <t>H_RH.F</t>
  </si>
  <si>
    <t>22A.HF</t>
  </si>
  <si>
    <t>⚑ HITO FINAL REDES HÚMEDAS — Acueducto+Sanitario+Pluvial instalados, probados, as-built levantados y zanjas rellenas compactadas | Gestión empalme empresa pública en curso</t>
  </si>
  <si>
    <t>Coordinar con empresa pública para conexión definitiva acueducto y alcantarillado | As-built entregados a interventoría | Compactación K≥95% verificada en laboratorio | Sumideros funcionales</t>
  </si>
  <si>
    <t>Interventoría / Ing. HS</t>
  </si>
  <si>
    <t>🟣 SECCIÓN 2 — REDES SECAS: Transformador 112.5 KVA + Red Eléctrica PVC-DB ~200 ml + Gas troncal 120 ml + Telecom 150 ml | RETIE 2013 + NTC 2050 + NTC 3728 | INICIO: 20/01/2027 — PARALELO con F22A y F22G</t>
  </si>
  <si>
    <t>F22B</t>
  </si>
  <si>
    <t>22B</t>
  </si>
  <si>
    <t>REDES SECAS — Eléctrica+Transformador 112.5 KVA+Poste+Gas Natural Troncal+Telecomunicaciones | RETIE (Res.90708/2013) + NTC 2050 + NTC 3728/3631 | ★ PARALELO con F22A y F22G</t>
  </si>
  <si>
    <t>51d</t>
  </si>
  <si>
    <t>Trafo: 112.5 KVA pad-mounted (89a×1.2kW+9loc×3kW+parq.15kW+común20kW=154kW→Fd=0.8→123kW) | PVC DB-120: ~200 ml enterrado | Gas acero negro Ø2": ~50ml + PE Ø1": ~70ml | Telecom Ø2": ~150ml | ★ Solicitar EPM DÍA 1</t>
  </si>
  <si>
    <t>Ing. Eléctrico / MEP</t>
  </si>
  <si>
    <t>RS.2</t>
  </si>
  <si>
    <t>22B.0</t>
  </si>
  <si>
    <t>★ GESTIÓN URGENTE DÍA 1 — Solicitud conexión EPM/CHEC: radicación formulario + planos eléctricos + memorial de cálculo + pago derechos + solicitud gas (Efigas) + solicitud telecom | Plazo empresa: 15-30 días</t>
  </si>
  <si>
    <t>★ RADICAR EL 20/01/2027 | EPM: formulario + licencia LU + planos RETIE firmados + memorial cálculo + derechos conexión | Efigas: solicitud disponibilidad + diseño gas | Telecom: proveedor (Claro/Tigo/ETB) | RUTA CRÍTICA EXTERNA: si no se radica hoy, energización se atrasa 30+ días</t>
  </si>
  <si>
    <t>Ing. Eléctrico / Gerencia</t>
  </si>
  <si>
    <t>RS.1</t>
  </si>
  <si>
    <t>22B.1</t>
  </si>
  <si>
    <t>Diseño eléctrico definitivo y cálculo de demanda: 89 aptos×1.2kW + 9 locales×3kW + parqueadero 15kW + alumbrado 20kW = 154kW → Fd=0.8 → 123kW → Trafo 112.5 KVA</t>
  </si>
  <si>
    <t>Memoria de cálculo: carga instalada → demanda máxima → calibre transformador | RETIE Art.12 | NTC 2050 | Planos eléctricos firmados Ing. matriculado | Incluir circuito generador emergencia (Torre+ascensores)</t>
  </si>
  <si>
    <t>Ing. Eléctrico</t>
  </si>
  <si>
    <t>RS.3</t>
  </si>
  <si>
    <t>22B.3</t>
  </si>
  <si>
    <t>Excavación zanjas red eléctrica: ~200 ml × 0.60m × 1.0m = 120 m³ | Gas: ~120 ml × 0.60m × 0.80m = 57.6 m³ | Telecom: ~150 ml × 0.40m × 0.60m = 36 m³ | Total: ~214 m³</t>
  </si>
  <si>
    <t>Total excavación redes secas: ~214 m³ | Cinta señalizadora: naranja=eléctrica, amarilla=gas, verde=telecom, 30cm sobre cada red | Profundidad eléctrica: mín. 1.0m | Gas: mín. 0.60m | Señalización SISO activa</t>
  </si>
  <si>
    <t>H_RS.1</t>
  </si>
  <si>
    <t>22B.H1</t>
  </si>
  <si>
    <t>⚑ HITO RS-1: ZANJAS EXCAVADAS + SOLICITUD EPM/EFIGAS RADICADA — Autoriza instalación canalización eléctrica y gas | Verificar radicación con número de expediente</t>
  </si>
  <si>
    <t>Verificar número de expediente EPM + Efigas + telecom | Seguimiento semanal a EPM | Zanjas: profundidades verificadas por topógrafo</t>
  </si>
  <si>
    <t>Interventoría / Ing. Elec.</t>
  </si>
  <si>
    <t>RS.4</t>
  </si>
  <si>
    <t>22B.4</t>
  </si>
  <si>
    <t>Instalación canalización eléctrica: tubería PVC DB-120 Ø4" red principal (~120 ml) enterrada + PVC DB Ø2" ramales (~80 ml) + cajas de paso cada 30m (8 und) | ★ NO EMT en enterrado</t>
  </si>
  <si>
    <t>★ CORRECCIÓN TÉCNICA: EMT (tubería metálica pared delgada) NO apta para enterramiento (corrosión) | Usar PVC DB-120 o conduit galvanizado IMC/RMC para tramos enterrados | NTC 2050 Art.352/358 | Cajas de paso: caja PVC IP55 30×30cm</t>
  </si>
  <si>
    <t>RS.5</t>
  </si>
  <si>
    <t>22B.5</t>
  </si>
  <si>
    <t>Instalación poste EPM 15m centrifugado + cruceta + aisladores + bajante conduit PVC 2" + caja de maniobra 600×600mm | EPM ejecuta con supervisión Constructor</t>
  </si>
  <si>
    <t>Pozo poste: Ø0.50m prof.2.50m | Poste: 15m × 750daN centrifugado | Bajante: conduit PVC 2" desde cruceta a TDG | EPM realiza la instalación del poste | Prever espacio libre 1.0m perimetral alrededor del poste</t>
  </si>
  <si>
    <t>Contratista EPM / Res.</t>
  </si>
  <si>
    <t>RS.5b</t>
  </si>
  <si>
    <t>22B.5b</t>
  </si>
  <si>
    <t>★ NUEVA — Sistema Puesta a Tierra (SPT): construcción malla de tierra perimetral del transformador + electrodo copperweld 5/8"×1.80m + bentonita | Medición resistencia ≤10Ω | RETIE Art.15</t>
  </si>
  <si>
    <t>RETIE Art.15 + NTC 2050 Art.250 + NTC 4552 OBLIGATORIO | Malla: conductor desnudo Cu 4/0 AWG enterrado 0.60m alrededor del trafo | Electrodo: copperweld 5/8"×1.80m + 25kg bentonita | Medición: telurómetro 4 terminales → ≤10Ω subestación</t>
  </si>
  <si>
    <t>RS.6</t>
  </si>
  <si>
    <t>22B.6</t>
  </si>
  <si>
    <t>Instalación transformador pad-mounted 112.5 KVA: 13.200V / 208-120V 3F+N | Plataforma concreto 2.0×2.0×0.15m f'c=21MPa + anclajes + cerco protección 1.5m</t>
  </si>
  <si>
    <t>Plataforma concreto f'c=21MPa | Anclajes: pernos galvanizados 5/8" | Cerco: malla eslabonada o rejas h=1.80m | Transformador sellado en aceite | RETIE Art.40 | Equipotencializar carcasa a malla SPT</t>
  </si>
  <si>
    <t>Contratista EPM / Electricista</t>
  </si>
  <si>
    <t>RS.7</t>
  </si>
  <si>
    <t>22B.7</t>
  </si>
  <si>
    <t>Cableado acometida principal: Trafo → TDG cable SHD-GC 4×2/0 AWG (~50 ml) | Tablero Distribución General 800A + interruptores 200A por bloque + medidores ITRON prepago</t>
  </si>
  <si>
    <t>Cable SHD-GC 4×2/0 AWG en bandeja portacable o enterrado en PVC DB | TDG: armario 800A 3F+N | 1 interruptor 200A/3P por bloque + 1 para generador emergencia | Medidores ITRON prepago 1 por unidad | NTC 2050</t>
  </si>
  <si>
    <t>H_RS.2</t>
  </si>
  <si>
    <t>22B.H2</t>
  </si>
  <si>
    <t>⚑ HITO RS-2: TRANSFORMADOR + CANALIZACIÓN ELÉCTRICA + SPT INSTALADOS — Malla tierra ≤10Ω verificada | Inspección previa EPM antes de energizar | Equipotencialización confirmada</t>
  </si>
  <si>
    <t>SPT: resistencia ≤10Ω medida y registrada | EPM inspección previa | RETIE: verificar calibres, protecciones, equipotencialización antes de energizar | Acta interventoría</t>
  </si>
  <si>
    <t>EPM / Electricista RETIE</t>
  </si>
  <si>
    <t>RS.8</t>
  </si>
  <si>
    <t>22B.8</t>
  </si>
  <si>
    <t>Instalación red gas troncal: tubería acero negro Ø2" cédula 40 (~50 ml, protección anticorrosiva + cinta 3M) + ramales PE Ø1" (~70 ml) | Prof. mín. 0.60m | NTC 3728</t>
  </si>
  <si>
    <t>Acero negro Ø2" cédula 40 con pintura anticorrosiva epóxica + cinta protectora 3M petrolatum | PE Ø1" PEAD desde cabezote regulador | Profundidad mín. 0.60m | Cinta amarilla señalizadora 30cm sobre tubería | NTC 3728 + RETTIG</t>
  </si>
  <si>
    <t>Gasero certificado</t>
  </si>
  <si>
    <t>RS.9</t>
  </si>
  <si>
    <t>22B.9</t>
  </si>
  <si>
    <t>Instalación reguladores de presión (1 por bloque) + válvulas de seccionamiento + gabinetes de medición individuales empotrados en muros | NTC 3728</t>
  </si>
  <si>
    <t>Regulador por bloque: 1 und Torre, 1 Casas, 1 Parqueadero, 1 Locales | Válvula esfera 1" por acometida | Gabinete: empotrado en muro perimetral accesible | Presión regulada: según empresa distribuidora (Efigas)</t>
  </si>
  <si>
    <t>Gasero / Empresa Gas</t>
  </si>
  <si>
    <t>RS.10</t>
  </si>
  <si>
    <t>22B.10</t>
  </si>
  <si>
    <t>Prueba neumática red gas troncal: presurizar 1.5 kg/cm² con N₂ seco durante 4 horas | Verificar 100% uniones con solución jabonosa | Acta firmada | RETTIG NTC 3631 §8</t>
  </si>
  <si>
    <t>★ RETTIG NTC 3631 §8 OBLIGATORIA | 1.5 kg/cm² N₂ durante 4h | Verificar TODAS las uniones | Acta firmada: gasero certificado + interventoría | Sin acta aprobada NO se rellena zanja gas | Caída tolerable: ≤0.1 kg/cm² en 4h</t>
  </si>
  <si>
    <t>Gasero / Interventoría</t>
  </si>
  <si>
    <t>RS.11</t>
  </si>
  <si>
    <t>22B.11</t>
  </si>
  <si>
    <t>Relleno zanjas gas: arena fina e=20cm alrededor tubería + cinta amarilla 30cm sobre tubería + recebo b-600 compactado K≥95% | Señalización superficial</t>
  </si>
  <si>
    <t>Cinta señalizadora amarilla: 30cm sobre tubería | Señalización superficial: arandelas plásticas amarillas c/5m | Recebo K≥95% | Verificar que cinta queda a 30cm sobre tubería (no en la superficie)</t>
  </si>
  <si>
    <t>Res. / Plomero</t>
  </si>
  <si>
    <t>H_RS.3</t>
  </si>
  <si>
    <t>22B.H3</t>
  </si>
  <si>
    <t>⚑ HITO RS-3: RED GAS TRONCAL PROBADA Y RELLENA — Prueba neumática 4h ≥1.5 kg/cm² aprobada | Lista para habilitación por empresa distribuidora</t>
  </si>
  <si>
    <t>Acta prueba neumática firmada | Zanja gas rellena K≥95% | Coordinar con Efigas para habilitación y apertura de la red</t>
  </si>
  <si>
    <t>Empresa Gas / Gasero / Interventoría</t>
  </si>
  <si>
    <t>RS.11b</t>
  </si>
  <si>
    <t>22B.11b</t>
  </si>
  <si>
    <t>★ NUEVA — Empalme Efigas / habilitación red gas: inspección empresa distribuidora + apertura válvula principal + verificación presión en puntos de entrega + acta de habilitación</t>
  </si>
  <si>
    <t>EFIGAS (distribuidora Risaralda) realiza la inspección y habilitación | Presentar: plano as-built gas + acta prueba neumática + certificado gasero | Presión de entrega: según normativa Efigas | Sin habilitación no hay gas en ninguna unidad</t>
  </si>
  <si>
    <t>Efigas / Gasero</t>
  </si>
  <si>
    <t>RS.12</t>
  </si>
  <si>
    <t>22B.12</t>
  </si>
  <si>
    <t>Instalación telecomunicaciones: ductos PVC Ø2" corrugado doble pared (~150 ml) + 6 cámaras empalme 60×60×60cm + jalador para fibra óptica | Pendiente hacia cámaras</t>
  </si>
  <si>
    <t>Ductos PVC Ø2" doble pared corrugado con jalador #18 | Cámaras: cada 30m | Pendiente hacia cámaras para drenaje | Fibra óptica: proveedor instala (Claro/Tigo/ETB) | Relleno con recebo compactado | Cinta verde señalizadora</t>
  </si>
  <si>
    <t>Técnico Telecom</t>
  </si>
  <si>
    <t>RS.13</t>
  </si>
  <si>
    <t>22B.13</t>
  </si>
  <si>
    <t>Instalación iluminación exterior: 8 postes decorativos h=4m galvanizados + luminarias LED 60W IP65 6500K + cable THHN 2×10mm² en conduit PVC DB enterrado + timer digital</t>
  </si>
  <si>
    <t>Postes acero galvanizado h=4m | LED 60W IP65 6500K CRI≥80 | Separación ~25m | Cable THHN 2×10mm² enterrado en conduit PVC DB (NO EMT bajo tierra) | Timer digital 8 programas | Puesta a tierra de postes a malla SPT</t>
  </si>
  <si>
    <t>RS.13b</t>
  </si>
  <si>
    <t>22B.13b</t>
  </si>
  <si>
    <t>★ NUEVA — Levantamiento as-built redes secas ANTES DE RELLENAR: georreferenciación de toda la red eléctrica, gas y telecom | DWG + PDF firmados entregados a interventoría</t>
  </si>
  <si>
    <t>OBLIGATORIO antes del relleno definitivo | Sin as-built el dictamen RETIE no se puede emitir | Georreferenciación: cajas de paso, pozos telecom, acometidas, reguladores gas | Planos firmados Ing. eléctrico + gasero matriculados</t>
  </si>
  <si>
    <t>Topógrafo / Ing. Eléctrico</t>
  </si>
  <si>
    <t>RS.14</t>
  </si>
  <si>
    <t>22B.14</t>
  </si>
  <si>
    <t>★ OBLIGATORIO — Certificación RETIE + RETILAP exteriores: inspector organismo acreditado ONAC revisa red exterior + TDG + acometidas + iluminación + SPT | Emite DICTAMEN RETIE</t>
  </si>
  <si>
    <t>Inspector RETIE de ORGANISMO ACREDITADO ONAC (no solo electricista matriculado) | Verifica: calibres, protecciones, SPT ≤10Ω, equipotencialización, iluminación RETILAP | DICTAMEN RETIE favorable → entregarlo a EPM para energización | Sin dictamen EPM no conecta</t>
  </si>
  <si>
    <t>Inspector OEC / ONAC</t>
  </si>
  <si>
    <t>RS.15</t>
  </si>
  <si>
    <t>22B.15</t>
  </si>
  <si>
    <t>Energización por EPM: revisión final + conexión en transformador + prueba tensión 208/120V 3F+N + verificación secuencia fases + medición corriente no carga | Acta EPM</t>
  </si>
  <si>
    <t>EPM realiza la energización con dictamen RETIE aprobado | Verificar: 208V fases, 120V fase-neutro, secuencia ABC, corriente no carga, diferencial activo | Acta EPM firmada | ★ GESTIÓN EXTERNA: puede demorar si EPM tiene agenda apretada — radicar dictamen inmediatamente</t>
  </si>
  <si>
    <t>EPM / Electricista</t>
  </si>
  <si>
    <t>RS.16</t>
  </si>
  <si>
    <t>22B.16</t>
  </si>
  <si>
    <t>Relleno y compactación definitiva zanjas eléctricas y telecom: recebo b-600 K≥95% + cinta naranja (eléctrica) y verde (telecom) + reposición provisional de superficie</t>
  </si>
  <si>
    <t>Cinta naranja 30cm sobre canalización eléctrica | Cinta verde sobre telecom | Compactación K≥95% Proctor | Superficie provisional para tránsito | Verificar que la reposición no afecta niveles de la vía</t>
  </si>
  <si>
    <t>Res.</t>
  </si>
  <si>
    <t>H_RS.F</t>
  </si>
  <si>
    <t>22B.HF</t>
  </si>
  <si>
    <t>⚑ HITO FINAL REDES SECAS — Transformador 112.5 KVA energizado | Gas habilitado por Efigas | Telecom activo | Dictamen RETIE + SPT aprobados | Iluminación exterior operativa | As-built entregados</t>
  </si>
  <si>
    <t>Servicios permanentes operativos: energía (EPM acta), gas (Efigas habilitación), telecom (jalador instalado) | Documentos: dictamen RETIE, as-built firmados, SPT acta, prueba neumática gas</t>
  </si>
  <si>
    <t>Interventoría / Dir. Obra</t>
  </si>
  <si>
    <t>🟢 SECCIÓN 3 — URBANISMO GENERAL: Cerramiento 150 ml + Andenes 500 m² + Zonas Verdes 400 m² + Adoquín 100 m² + Mobiliario Urbano + Riego | Ley 361 (accesibilidad) | INICIO: 20/01/2027 — PARALELO con F22A y F22B</t>
  </si>
  <si>
    <t>F22G</t>
  </si>
  <si>
    <t>22G</t>
  </si>
  <si>
    <t>URBANISMO GENERAL — Cerramiento Definitivo + Andenes (500 m²) + Zonas Verdes (400 m²) + Mobiliario Urbano + Sistema de Riego | ★ PARALELO con F22A y F22B</t>
  </si>
  <si>
    <t>69d</t>
  </si>
  <si>
    <t>Cerramiento: muro mampostería 150 ml h=2.0m + puerta vehicular 6m + caseta portería | Andenes: concreto e=10cm malla M-084 | Zonas verdes: césped+jardín+adoquín | ★ U.10-U.16 inician después de F22C (vía terminada)</t>
  </si>
  <si>
    <t>U.1</t>
  </si>
  <si>
    <t>22G.1</t>
  </si>
  <si>
    <t>Replanteo cerramiento definitivo: trazado muro perimetral + ubicación puerta vehicular (6m doble hoja corrediza) + peatonal (1.0m) + caseta portería (3×3m)</t>
  </si>
  <si>
    <t>150 ml de muro perimetral | Puerta vehicular: 6.0m doble hoja corrediza con motor | Puerta peatonal: 1.0m batiente | Caseta: 3×3m en esquina de acceso | Verificar que el trazado respeta cesión vial (76.88m² licencia LU)</t>
  </si>
  <si>
    <t>U.2</t>
  </si>
  <si>
    <t>22G.2</t>
  </si>
  <si>
    <t>Excavación zapata corrida cerramiento: 150 ml × 0.40m × 0.40m = 24 m³ | Armado acero: 2#3 longitudinal + estribos #2@20cm | Vaciado f'c=21MPa | 4 cilindros</t>
  </si>
  <si>
    <t>Zapata corrida: 0.40×0.40m | Acero: 2#3 long + estribos #2@20cm | Vol concreto: 24.0 m³ + 5% desperdicio = 25.2 m³ | 4 cilindros por vaciado | Curado 3 días antes de levantar mampostería</t>
  </si>
  <si>
    <t>Armador / Concretero</t>
  </si>
  <si>
    <t>U.3</t>
  </si>
  <si>
    <t>22G.3</t>
  </si>
  <si>
    <t>Levantamiento muro mampostería cerramiento h=2.0m: bloque #4 o ladrillo tolete | Columnetas 0.15×0.15m c/3m con acero #3 | Viga corona 0.15×0.20m | Mortero 1:4</t>
  </si>
  <si>
    <t>Mortero 1:4 | Junta 1cm | Columnetas: #3 long + estribos #2@20cm | Viga corona: 2#3 + estribos #2@20cm | Plomada c/3 hiladas | Panete exterior finalizar con graniplast</t>
  </si>
  <si>
    <t>Albañil</t>
  </si>
  <si>
    <t>U.4</t>
  </si>
  <si>
    <t>22G.4</t>
  </si>
  <si>
    <t>Instalación puerta vehicular metálica corrediza 6.0m (2 hojas 3m c/u) + motor 1/2HP 220V + control remoto + intercomunicador IP65 + puerta peatonal 1.0m</t>
  </si>
  <si>
    <t>Puerta: tubo cuadrado 50×50mm cal.14 galvanizado + pintura anticorrosiva + esmalte | Motor: 1/2HP 220V + mando remoto + pulsador emergencia manual | Intercomunicador: video IP65 con cámara + base interior portería</t>
  </si>
  <si>
    <t>Herrero / Electricista</t>
  </si>
  <si>
    <t>U.5</t>
  </si>
  <si>
    <t>22G.5</t>
  </si>
  <si>
    <t>Construcción caseta portería 3×3m: mampostería + losa e=10cm f'c=21MPa + MEP básico (2 tomas+luminaria+punto telefono+CCTV) + ventana aluminio + puerta metálica + acabados</t>
  </si>
  <si>
    <t>Caseta: paredes mampostería + losa concreto f'c=21MPa | Piso: cerámica 30×30 | Pañete + pintura | MEP: 2 tomas 120V + 1 lámpara LED + punto teléfono/intercomunicador + punto CCTV</t>
  </si>
  <si>
    <t>Albañil / Electricista</t>
  </si>
  <si>
    <t>H_U.1</t>
  </si>
  <si>
    <t>22G.H1</t>
  </si>
  <si>
    <t>⚑ HITO URB-1: CERRAMIENTO DEFINITIVO TERMINADO — Portería operativa | Puerta vehicular eléctrica funcionando | Caseta con servicios activos | Conjunto perimetrado</t>
  </si>
  <si>
    <t>Verificar: muro plomado, puerta abre/cierra correctamente motor+manual, caseta con MEP operativo, intercomunicador activo | Conjunto asegurado para acceso controlado</t>
  </si>
  <si>
    <t>U.6</t>
  </si>
  <si>
    <t>22G.6</t>
  </si>
  <si>
    <t>Preparación cama andenes (500 m²): excavación 0.20m prof. = 100 m³ | Retiro tierra vegetal | Subbase: recebo + arena 10cm compactada K≥90% | Nivelación laser</t>
  </si>
  <si>
    <t>Retiro tierra vegetal: 400×0.20=80 m³ a escombrera | Subbase: recebo + arena proporcional compactado K≥90% | Nivelación laser: cota pavimento terminado ≤ cota vía adyacente | Verificar drenaje superficial hacia sumideros (pendiente 2% mín.)</t>
  </si>
  <si>
    <t>Res. / Op.</t>
  </si>
  <si>
    <t>U.7</t>
  </si>
  <si>
    <t>22G.7</t>
  </si>
  <si>
    <t>Encofrado perimetral andenes + instalación malla electrosoldada M-084 (fy=485MPa NTC 5806) + vaciado concreto e=10cm f'c=21MPa | Vol: 500×0.10=50m³ + 5%=52.5m³</t>
  </si>
  <si>
    <t>Malla M-084 (fy=485 MPa, NTC 5806) | Concreto: 52.5 m³ | Acabado: llana manual + brocha textura antideslizante | Juntas de dilatación c/3.0m dos direcciones (disco diamante post-fragua) | Pendiente 2% hacia sumideros</t>
  </si>
  <si>
    <t>Albañil / Concretero</t>
  </si>
  <si>
    <t>U.8</t>
  </si>
  <si>
    <t>22G.8</t>
  </si>
  <si>
    <t>Rampas accesibilidad PcD (4 und): pendiente ≤8% (Ley 361/NTC 4143) + ancho ≥1.20m + baldosa podotáctil guía + pasamanos h=0.90m si longitud &gt;5m | Fundido monolíticamente</t>
  </si>
  <si>
    <t>Rampas: concreto f'c=21MPa fundido MONOLÍTICAMENTE con andén | Pendiente ≤8% (Ley 361/1997, NTC 4143) | Ancho libre ≥1.20m | Baldosa podotáctil: 30×30cm instalada en arranque y llegada | NSR-10 Tít.K</t>
  </si>
  <si>
    <t>U.9</t>
  </si>
  <si>
    <t>22G.9</t>
  </si>
  <si>
    <t>Curado andenes (4 días) + curador químico acrílico + corte juntas de dilatación c/3.0m con disco diamante e=5mm + sellado poliuretano elastomérico gris</t>
  </si>
  <si>
    <t>Juntas: corte disco diamante e=5mm después de fraguar (16-24h) | Sellado: poliuretano gris flexible | Curador químico acrílico: aplicar antes de fraguar completamente | Verificar que juntas cortan hasta 1/4 del espesor (2.5cm mín.)</t>
  </si>
  <si>
    <t>H_U.2</t>
  </si>
  <si>
    <t>22G.H2</t>
  </si>
  <si>
    <t>⚑ HITO URB-2: ANDENES 500 m² TERMINADOS — Curados 4d | Juntas selladas | Rampas PcD aprobadas | Pendiente 2% verificada laser | Textura antideslizante OK</t>
  </si>
  <si>
    <t>Verificar: planeidad regla 2m ≤5mm | Pendiente 2% laser | Rampas ≤8% con podotáctil | Juntas selladas sin fisuras | Acta interventoría | Andenes listos antes de MDC-19</t>
  </si>
  <si>
    <t>🟠 SECCIÓN 4 — VÍA INTERNA MDC-19: 1.200 m² Pavimento Flexible | Manual INVIAS Art.320/330/410/450 | Subbase 240 m³ + Base 180 m³ + MDC-19 135 ton + Bordillos 180 ml | INICIO: 15/03/2027 (depende de H_RH.F + H_RS.3)</t>
  </si>
  <si>
    <t>F22C</t>
  </si>
  <si>
    <t>22C</t>
  </si>
  <si>
    <t>VÍA INTERNA — 1.200 m² Pavimento Flexible MDC-19 | Subbase b-600 (SBG-A INVIAS) e=20cm + Base b-400 (BG-A) e=15cm + MDC-19 e=5cm + Bordillos 180 ml | ★ INICIO 15/03/2027 (redes bajo calzada completas)</t>
  </si>
  <si>
    <t>49d</t>
  </si>
  <si>
    <t>★ PREDECESORA: H_RH.F (redes húmedas bajo calzada rellenas) + H_RS.3 (gas bajo calzada probado y relleno) | Subbase CBR≥30% | Base CBR≥80% | MDC-19 densidad Marshall ≥98% | INVIAS Art.320/330/410/450</t>
  </si>
  <si>
    <t>Res. / Subcontr. Pavimentador</t>
  </si>
  <si>
    <t>V.1</t>
  </si>
  <si>
    <t>22C.1</t>
  </si>
  <si>
    <t>Replanteo vía: trazado ejes + nivelación + pendientes + cotas rasante | Sección tipo: calzada 6.0m + zona peatonal 1.50m c/lado | Bombeo 2% bilateral hacia sumideros</t>
  </si>
  <si>
    <t>Sección tipo: 6.0m calzada + 1.50m peatonal c/lado | Bombeo: 2% bilateral hacia sumideros pluviales (RH.12) | Verificar pendiente longitudinal según POT Dosquebradas | Drenaje coordinado con alcantarillado pluvial ya instalado</t>
  </si>
  <si>
    <t>V.2</t>
  </si>
  <si>
    <t>22C.2</t>
  </si>
  <si>
    <t>Excavación y conformación subrasante vía: 1.200 m² × 0.40m = 480 m³ | Motoniveladora + compactador liso 10 ton | Compactación K≥95% Proctor | CBR ≥ 3% subrasante</t>
  </si>
  <si>
    <t>Motoniveladora + compactador liso 10 ton | CBR ≥ 3% subrasante (ensayo laboratorio INVIAS INV.E.148) | Ensayos densidad in situ c/500m² | INVIAS INV.E.120 | Retirar material inapropiado si CBR &lt; 3%</t>
  </si>
  <si>
    <t>Res. / Maquinaria / Lab.</t>
  </si>
  <si>
    <t>V.3</t>
  </si>
  <si>
    <t>22C.3</t>
  </si>
  <si>
    <t>Suministro + extendido + compactación subbase granular SBG-A (b-600 equiv.) e=20cm: 1.200×0.20=240 m³ | K≥95% Proctor modificado | CBR ≥ 30% | INVIAS Art.320</t>
  </si>
  <si>
    <t>Gradación SBG-A (equivale a b-600) INVIAS Art.320 | K≥95% Proctor modificado | Ensayos c/200m² densidad in situ | CBR ≥ 30% | Extendido motoniveladora capas 20cm | Verificar niveles topógrafo ±1cm</t>
  </si>
  <si>
    <t>V.4</t>
  </si>
  <si>
    <t>22C.4</t>
  </si>
  <si>
    <t>Suministro + extendido + compactación base granular BG-A (b-400 equiv.) e=15cm: 1.200×0.15=180 m³ | K≥98% Proctor modificado | CBR ≥ 80% | Bordillos sardinel 180 ml</t>
  </si>
  <si>
    <t>Gradación BG-A (equivale a b-400) INVIAS Art.330 | K≥98% Proctor modificado | Ensayos c/150m² | Bordillo prefab. 0.15×0.20×1.0m en mortero 1:3 | Nivel topográfico | Verificar CBR ≥ 80% antes de imprimación</t>
  </si>
  <si>
    <t>H_V.1</t>
  </si>
  <si>
    <t>22C.H1</t>
  </si>
  <si>
    <t>⚑ HITO VÍA-1: BASE GRANULAR TERMINADA — K≥98% Proctor | CBR≥80% | Bordillos instalados | Superficie limpia y seca | Lista para imprimación MC-30</t>
  </si>
  <si>
    <t>★ Superficie debe estar SECA y libre de polvo/material suelto antes del riego de liga | Acta laboratorio CBR+densidad | Bordillos nivelados ±5mm | No se imprime si hay pronóstico de lluvia 24h</t>
  </si>
  <si>
    <t>V.5</t>
  </si>
  <si>
    <t>22C.5</t>
  </si>
  <si>
    <t>Riego imprimación MC-30: 1.200 m² × 1.0 L/m² = 1.200 L | T mín. 15°C | Sin lluvia 24h antes ni después | Curado 24-48h | INVIAS Art.410</t>
  </si>
  <si>
    <t>MC-30: 1.0 L/m² con distribuidor mecánico | Barrer exceso arena antes de carpeta | Curado mín. 24h-48h sin tráfico | No aplicar si T ambiente &lt; 15°C | Verificar pronóstico meteorológico | Cubrir sumideros durante aplicación</t>
  </si>
  <si>
    <t>Subcontr. Pavimentador</t>
  </si>
  <si>
    <t>V.6</t>
  </si>
  <si>
    <t>22C.6</t>
  </si>
  <si>
    <t>Suministro + extendido + compactación carpeta asfáltica MDC-19 e=5cm: 135 ton | Finisher autopropulsada | T extendido ≥130°C | T compactación ≥90°C | INVIAS Art.450</t>
  </si>
  <si>
    <t>MDC-19: 135 ton (1.200×0.05×2.25 t/m³) | Finisher: velocidad 3-5 m/min | Rodillo tándem: 6-8 pasadas secuenciales | T: ≥130°C extendido, ≥90°C compactación final | Densidad Marshall ≥98% | INVIAS Art.450</t>
  </si>
  <si>
    <t>V.7</t>
  </si>
  <si>
    <t>22C.7</t>
  </si>
  <si>
    <t>Control calidad MDC-19: extracción 3 núcleos (1 c/400m²) | Espesor promedio ≥5cm (mín.4.75cm) | Densidad ≥98% Marshall | Rugosidad péndulo británico ≥45 | INVIAS INV.E.748</t>
  </si>
  <si>
    <t>Núcleos: 3 mín. extraídos por laboratorio acreditado | Densidad: ≥98% Marshall | Espesor: promedio ≥5cm (c/u mín.4.75cm) | Rugosidad BPN ≥45 | Acta laboratorio firmada antes de señalización horizontal</t>
  </si>
  <si>
    <t>Lab. Asfaltos / Interventoría</t>
  </si>
  <si>
    <t>V.8</t>
  </si>
  <si>
    <t>22C.8</t>
  </si>
  <si>
    <t>Señalización horizontal (demarcación thermoplástica reflectiva) + señalización vertical + 2 reductores de velocidad prefab. + marcación discapacitados | Velocidad máx. 10 km/h</t>
  </si>
  <si>
    <t>Demarcación: pintura termoplástica reflectiva (blanco) | Líneas 10cm | Señales: velocidad máx 10 km/h, cebras peatonales, espacio discapacitados (Ley 361) | Reductores: PVC prefab. o concreto h=5cm max</t>
  </si>
  <si>
    <t>Señalista / Res.</t>
  </si>
  <si>
    <t>H_V.F</t>
  </si>
  <si>
    <t>22C.HF</t>
  </si>
  <si>
    <t>⚑ HITO VÍA: 1.200 m² MDC-19 TERMINADA — Densidad ≥98% Marshall | Señalizada | Reductores instalados | Acta laboratorio | Garantía 5 años | Lista para uso vehicular</t>
  </si>
  <si>
    <t>Acta recibo con garantía 5 años | Dossier: laboratorio subbase (SBG-A)+base (BG-A)+asfalto (MDC-19) | Señalización horizontal+vertical | Coordinar con F26 Entrega General</t>
  </si>
  <si>
    <t>🟢 SECCIÓN 3 CONTINUACIÓN — ZONAS VERDES + MOBILIARIO URBANO + SEÑALIZACIÓN (inician después de H_V.F — vía terminada)</t>
  </si>
  <si>
    <t>U.10</t>
  </si>
  <si>
    <t>22G.10</t>
  </si>
  <si>
    <t>Preparación suelo zonas verdes 400 m²: retiro tierra 20cm + tierra negra 15cm + abono orgánico 2 kg/m² | Mezcla 70% tierra negra + 30% compost | Roto-tiller</t>
  </si>
  <si>
    <t>Retiro tierra vegetal: 400×0.20=80 m³ a escombrera | Tierra negra: 400×0.15=60 m³ | Abono orgánico: 800 kg total | Roto-tiller para mezcla homogénea | Verificar pH suelo 6.0-7.0</t>
  </si>
  <si>
    <t>Paisajista</t>
  </si>
  <si>
    <t>U.11</t>
  </si>
  <si>
    <t>22G.11</t>
  </si>
  <si>
    <t>Siembra césped Kikuyo/San Agustín 300 m² (tapetes o estolones) + 50 arbustos ornamentales (Ixora, Helecho, Podocarpo) + 3 árboles h=1.5m | Riego inmediato</t>
  </si>
  <si>
    <t>Césped: tapetes 30×30cm c/10cm o estolones c/15cm | Arbustos: h=0.40-0.60m | Árboles: hoyos 0.60×0.60×0.60m + compost | Riego inmediato post-siembra | Según especificación: zonas verdes engramadas con siembra de individuos arbóreos</t>
  </si>
  <si>
    <t>U.12</t>
  </si>
  <si>
    <t>22G.12</t>
  </si>
  <si>
    <t>Sistema riego automático zonas verdes 400 m²: aspersores burbuja Rainbird/Hunter c/6m² (~67 und) + tubería PE Ø3/4" + temporizador digital 8 programas + filtro cabezal</t>
  </si>
  <si>
    <t>Aspersores: Rainbird o Hunter burbuja 0°-360° | Tubería PE Ø3/4" + válvulas por zona | Temporizador: 8 programas independientes | Filtro cabezal malla 120 mesh | Alimentación desde acometida acueducto conjunto</t>
  </si>
  <si>
    <t>Plomero / Paisajista</t>
  </si>
  <si>
    <t>U.12b</t>
  </si>
  <si>
    <t>22G.12b</t>
  </si>
  <si>
    <t>★ NUEVA — Prueba y calibración sistema de riego: verificar presión, cobertura y solapamiento de aspersores | Ajustar ángulos | Programar temporizador | Acta de funcionamiento</t>
  </si>
  <si>
    <t>Prueba: presión mín. 1.5 bar en cada aspersor | Cobertura: solapamiento 50% entre aspersores | Programar: 3 riegos/día × 10min en establecimiento (primeras 4 semanas) | Acta firmada paisajista</t>
  </si>
  <si>
    <t>U.13</t>
  </si>
  <si>
    <t>22G.13</t>
  </si>
  <si>
    <t>Mobiliario urbano: 4 bancas parque (dados concreto + listones madera inmunizada) + 4 canecas acero galv. c/tapa + 1 juego infantil (estructura galv. certificada NSF) + iluminación jardín solar</t>
  </si>
  <si>
    <t>Bancas: dados concreto 0.30×0.30×0.45m + listones madera inmunizada cumarú o teca | Juego infantil: certificado NSF + anclaje profundo | Iluminación: 12 estacas solares LED IP65 | Canecas: acero galv. con logo conjunto</t>
  </si>
  <si>
    <t>Res. / Proveedor</t>
  </si>
  <si>
    <t>U.14</t>
  </si>
  <si>
    <t>22G.14</t>
  </si>
  <si>
    <t>Instalación adoquín decorativo senderos peatonales internos ~100 m²: adoquín tipo I 6cm gris+rojo alternado | Cama arena 5cm compactada | Sello arena fina | Bordillo sardinel perimetral</t>
  </si>
  <si>
    <t>Adoquín I 6cm: gris + rojo alternado (separar colores por zonas) | Cama arena 5cm compactada (placa vibradora) | Sello: arena fina barrida en juntas | Bordillo sardinel perimetral | Pendiente 2% para drenaje</t>
  </si>
  <si>
    <t>U.15</t>
  </si>
  <si>
    <t>22G.15</t>
  </si>
  <si>
    <t>Señalización urbana interna: nomenclatura edificio + señales de emergencia + rutas de evacuación + puntos de encuentro + extintores exteriores c/15m en zonas comunes | NSR-10 J</t>
  </si>
  <si>
    <t>Nomenclatura: placa inox. fachada | Emergencia: señales evacuación + puntos de encuentro (NSR-10 J) | Extintores: 1 c/15m zonas comunes exteriores (NFPA 10) | Señal discapacitados: estacionamientos PcD (Ley 361) | Velocidad máx. 10 km/h</t>
  </si>
  <si>
    <t>Señalista / SISO</t>
  </si>
  <si>
    <t>U.16</t>
  </si>
  <si>
    <t>22G.16</t>
  </si>
  <si>
    <t>Aseo general urbanismo: retiro escombros a escombrera RCD autorizada + limpieza andenes + lavado fachadas (hidrolavadora 3.000 PSI) + limpieza vidrios locales + verificación drenajes pluviales</t>
  </si>
  <si>
    <t>Retiro escombros: escombrera autorizada (Decreto 1076 RCD) | Lavado fachadas: hidrolavadora 3.000 PSI | Limpieza andenes + adoquín | Sumideros: verificar flujo libre (retirar sedimentos) | Limpieza vidrios locales</t>
  </si>
  <si>
    <t>H_URB.F</t>
  </si>
  <si>
    <t>22G.HF</t>
  </si>
  <si>
    <t>⚑ HITO FINAL URBANISMO — Cerramiento+Andenes+Vía+Zonas Verdes+Mobiliario+Riego COMPLETOS | Dossier urbanismo entregado | Conjunto listo para entrega unidades</t>
  </si>
  <si>
    <t>Dossier urbanismo: planos as-built redes (RH+RS firmados), acta vía laboratorio (MDC-19 ≥98% Marshall), manual riego, garantías mobiliario, acta PcD, actas EPM+Efigas | Coordinar con F26 Entrega General</t>
  </si>
  <si>
    <t>H_F22.F</t>
  </si>
  <si>
    <t>22.FINAL</t>
  </si>
  <si>
    <t>⚑ HITO FINAL FASE 22 — URBANISMO INTEGRAL COMPLETO: Redes Húmedas + Redes Secas + Cerramiento + Andenes + Vía MDC-19 + Zonas Verdes | CONJUNTO HABITABLE CON SERVICIOS PÚBLICOS PERMANENTES</t>
  </si>
  <si>
    <t>★ SERVICIOS OPERATIVOS: Agua (Serviciudad/EMAS), Energía (EPM/CHEC), Gas (Efigas), Telecom activo | Vía 1.200 m² transitables | Espacios públicos entregados | Dossier completo: 8 grupos de documentos | Coordinar con F26 Entrega General</t>
  </si>
  <si>
    <t>H_URB.F, H_RS.F, H_RH.F</t>
  </si>
  <si>
    <t>F24</t>
  </si>
  <si>
    <t>FASE 24 — ASCENSOR SCALA KL-K 001 — MONTAJE E INSTALACIÓN COMPLETA (Panorámico, SS/P2–P12)</t>
  </si>
  <si>
    <t>▶ RUTA CRÍTICA — Inicia tras H-F11f | Pozo y cuarto máquinas libres</t>
  </si>
  <si>
    <t>H-F11f + Cuarto máquinas listo</t>
  </si>
  <si>
    <t>F24.1</t>
  </si>
  <si>
    <t>Verificación y limpieza del pozo del ascensor (SS a P12) — cotas, verticalidad, terminados de muros shaft, foso nivelado</t>
  </si>
  <si>
    <t>Limpieza pozo SS→P12 | Cotas verificadas | Foso nivelado | Muros shaft terminados</t>
  </si>
  <si>
    <t>SCALA Ascensores / Res. Obra</t>
  </si>
  <si>
    <t>H-F11f</t>
  </si>
  <si>
    <t>F24.2</t>
  </si>
  <si>
    <t>Instalación de guías metálicas verticales (guías cabina y contrapeso) — aplomado con plomada láser — fijación a muros shaft</t>
  </si>
  <si>
    <t>Guías cabina y contrapeso | Aplomado láser | Fijación a muros shaft | NSR-10</t>
  </si>
  <si>
    <t>Técnico SCALA</t>
  </si>
  <si>
    <t>F24.3</t>
  </si>
  <si>
    <t>Montaje de contrapeso + instalación de motor de tracción (s/salas de máquinas) en cuarto técnico P12 — conexión a cuadro eléctrico</t>
  </si>
  <si>
    <t>Contrapeso + motor tracción s/sala máquinas P12 | Cuadro eléctrico RETIE | Variador velocidad</t>
  </si>
  <si>
    <t>Técnico SCALA / Electricista</t>
  </si>
  <si>
    <t>F24.4</t>
  </si>
  <si>
    <t>Montaje de cabina acéro inoxidable acabado espejo — piso en porcelanato 60x60cm — iluminación LED — fondo panorámico (vidrio templado)</t>
  </si>
  <si>
    <t>Cabina acero inox espejo | Piso porcelanato 60×60cm | LED | Fondo panorámico vidrio templado</t>
  </si>
  <si>
    <t>F24.5</t>
  </si>
  <si>
    <t>Instalación puertas de piso por nivel (P2 a P12 = 12 puertas) + puerta de acceso Sótano — inoxidable o pintadas — detector de obstrucción</t>
  </si>
  <si>
    <t>12 puertas por piso (P2-P12) + sotáno | Inoxidable | Detector obstrucción | Umbral nivelado</t>
  </si>
  <si>
    <t>F24.6</t>
  </si>
  <si>
    <t>Instalación panel de control e botonera cabina + botoneras externas por piso + intercomunicador de emergencia + iluminación de emergencia</t>
  </si>
  <si>
    <t>Panel control + botoneras cabina + botoneras externas + intercomunicador emergencia + LED emerg</t>
  </si>
  <si>
    <t>F24.7</t>
  </si>
  <si>
    <t>Instalación variador de velocidad + sistema de nivelación magnética + llaves de paro de seguridad en foso y cuarto de máquinas</t>
  </si>
  <si>
    <t>Variador velocidad + nivelación magnética + llaves paro foso y cuarto máquinas</t>
  </si>
  <si>
    <t>F24.8</t>
  </si>
  <si>
    <t>Pruebas de funcionamiento en vacío: recorridos completos + prueba de limitador de velocidad + cierre de puertas + nivelación de cabina</t>
  </si>
  <si>
    <t>Recorridos completos | Limitador velocidad | Cierre puertas | Nivelación cabina por piso</t>
  </si>
  <si>
    <t>F24.9</t>
  </si>
  <si>
    <t>Prueba de carga al 100% y 125% (ASME A17.1/ICONTEC NTC 3252) — mín. 1 hora — con representante ONAC y firma de acta</t>
  </si>
  <si>
    <t>Carga 100% + 125% (ASME A17.1/NTC 3252) | Mín. 1 hora | Inspector ONAC | Acta</t>
  </si>
  <si>
    <t>SCALA + Inspector ONAC</t>
  </si>
  <si>
    <t>F24.10</t>
  </si>
  <si>
    <t>Obtención de certificado de funcionamiento expedido por ONAC/SIC — placa de identificación en cabina — registro en curador urbano</t>
  </si>
  <si>
    <t>Certificado ONAC/SIC | Placa identificación en cabina | Registro curador urbano</t>
  </si>
  <si>
    <t>Gerencia / SCALA</t>
  </si>
  <si>
    <t>F24.11</t>
  </si>
  <si>
    <t>Firma contrato de mantenimiento preventivo mensual 12 meses con SCALA Ascensores — incluye repuestos consumibles</t>
  </si>
  <si>
    <t>Contrato mantenimiento preventivo mensual 12 meses con SCALA | Repuestos consumibles</t>
  </si>
  <si>
    <t>⚑ H-F24</t>
  </si>
  <si>
    <t>24.H</t>
  </si>
  <si>
    <t>HITO: Ascensor SCALA KL-K 001 certificado ONAC y operativo — contrato mantenimiento firmado</t>
  </si>
  <si>
    <t>SCALA / Gerencia</t>
  </si>
  <si>
    <t>F25</t>
  </si>
  <si>
    <t>FASE 25 — VÍAS INTERNAS + ACCESO PRINCIPAL — PAVIMENTO FLEXIBLE MDC-19 (Carpeta asfáltica)</t>
  </si>
  <si>
    <t>▶ RUTA CRÍTICA — Inicia tras terminación redes enterradas externas F22</t>
  </si>
  <si>
    <t>Subcontratista Vías</t>
  </si>
  <si>
    <t>H-F22</t>
  </si>
  <si>
    <t>F25.1</t>
  </si>
  <si>
    <t>Demarcación y replanteo del eje vial — verificación de anchos mínimos reglamentarios (POT Dosquebradas) — hitos topográficos</t>
  </si>
  <si>
    <t>Demarcación + replanteo eje vial | Anchos mínimos POT Dosquebradas | Hitos topográficos</t>
  </si>
  <si>
    <t>Topógrafo / Res. Vías</t>
  </si>
  <si>
    <t>F25.2</t>
  </si>
  <si>
    <t>Demolición o retiro de pavimento existente (si aplica) + limpieza de subrasante + corte y relleno para pendientes de drenaje</t>
  </si>
  <si>
    <t>Retiro pavimento existente si aplica | Limpieza subrasante | Corte y relleno pendientes</t>
  </si>
  <si>
    <t>Operador Maquinaria</t>
  </si>
  <si>
    <t>F25.3</t>
  </si>
  <si>
    <t>Mejoramiento de subrasante: subbase granular compactada e=20cm — proctor modificado mín. 95% — ensayo CBR — acta de aprobación</t>
  </si>
  <si>
    <t>Subbase granular e=20cm | Proctor modificado mín. 95% | Ensayo CBR | Acta aprobación</t>
  </si>
  <si>
    <t>Res. Vías / Laboratorio</t>
  </si>
  <si>
    <t>F25.4</t>
  </si>
  <si>
    <t>Instalación de base granular e=20cm — material triturado 100% — nivelación y compactación — ensayo de densidad en campo</t>
  </si>
  <si>
    <t>Base granular e=20cm | Material triturado 100% | Densidad en campo | Laboratorio</t>
  </si>
  <si>
    <t>F25.5</t>
  </si>
  <si>
    <t>Aplicación de riego de imprimación (emulsión asfáltica CSS-1) sobre base granular — cura mín. 24h</t>
  </si>
  <si>
    <t>Emulsión asfáltica CSS-1 | Cura mín. 24h | No circular hasta curado completo</t>
  </si>
  <si>
    <t>Subcontratista Asfalto</t>
  </si>
  <si>
    <t>F25.6</t>
  </si>
  <si>
    <t>Instalación carpeta asfáltica MDC-19 e=5cm — temperatura de mezcla 145-165°C — compactación con rodillo tandem y neumático</t>
  </si>
  <si>
    <t>Carpeta MDC-19 e=5cm | T mezcla 145-165°C | Compactación rodillo tándem + neumático</t>
  </si>
  <si>
    <t>F25.7</t>
  </si>
  <si>
    <t>Construcción de sardineles fundidos en concreto f'c=210 kg/cm² — dimensiones 0.15x0.35m — bordes bisel 45°</t>
  </si>
  <si>
    <t>Sardineles fundidos 0.15×0.35m | f'c=210 kg/cm² | Bisel 45° | Curado 3 días</t>
  </si>
  <si>
    <t>Maestro Vías</t>
  </si>
  <si>
    <t>F25.8</t>
  </si>
  <si>
    <t>Construcción de sumideros de vias + cajas de inspección — conexión a red de aguas lluvias interna — rejilla metálica fundida</t>
  </si>
  <si>
    <t>Sumideros + cajas inspección | Conexión red aguas lluvias | Rejilla metálica fundida</t>
  </si>
  <si>
    <t>Maestro Vías / Maestro Sanitario</t>
  </si>
  <si>
    <t>F25.9</t>
  </si>
  <si>
    <t>Demarcación horizontal vial: pasos peatonales, líneas de carril, señales STOP, velocidad máx. 10 km/h — pintura tráfico Solvente</t>
  </si>
  <si>
    <t>Pintura tráfico solvente | Pasos peatonales + carriles + STOP + vel. máx. 10 km/h</t>
  </si>
  <si>
    <t>Señalizador Vial</t>
  </si>
  <si>
    <t>F25.10</t>
  </si>
  <si>
    <t>Inspección final de vias: verificación de pendientes, espesores, compactación y demarcación — acta de recibo interventoría</t>
  </si>
  <si>
    <t>Pendientes + espesores + compactación + demarcación | Acta de recibo interventoría</t>
  </si>
  <si>
    <t>⚑ H-F25</t>
  </si>
  <si>
    <t>25.H</t>
  </si>
  <si>
    <t>HITO: Vías internas + acceso principal en MDC-19 terminados — demarcados y aprobados por interventoría</t>
  </si>
  <si>
    <t>F21b</t>
  </si>
  <si>
    <t>21b</t>
  </si>
  <si>
    <t>FASE 21b — LICENCIA DE OCUPACIÓN + ACTAS FINALES DE OBRA (Curador Urbano — Dosquebradas)</t>
  </si>
  <si>
    <t>▶ RUTA CRÍTICA — Inicia tras H-F19 | Prerrequisito para escrituración y entrega</t>
  </si>
  <si>
    <t>H-F19</t>
  </si>
  <si>
    <t>F21b.1</t>
  </si>
  <si>
    <t>21b.1</t>
  </si>
  <si>
    <t>Compilación del dossier técnico de obra: planos record (as-built) estructural + hidrosanitario + eléctrico + gas actualizados</t>
  </si>
  <si>
    <t>Planos as-built actualizados: estructural + HS + eléctrico + gas | Formato digital + impreso</t>
  </si>
  <si>
    <t>Ing. Especialistas / Dir. Obra</t>
  </si>
  <si>
    <t>F21b.2</t>
  </si>
  <si>
    <t>21b.2</t>
  </si>
  <si>
    <t>Radicación ante Curador Urbano de Dosquebradas: solicitud de Licencia de Ocupación con toda la documentación técnica y legal</t>
  </si>
  <si>
    <t>Dossier completo: planos + actas + informes laboratorio + certificados RETIE/RCI/gas</t>
  </si>
  <si>
    <t>F21b.3</t>
  </si>
  <si>
    <t>21b.3</t>
  </si>
  <si>
    <t>Visita de inspección del Curador Urbano — verificación de que la construcción cumple la licencia y las normas NSR-10 / POT</t>
  </si>
  <si>
    <t>Visita curador urbano: verificación cumplimiento licencia y normas NSR-10/POT</t>
  </si>
  <si>
    <t>Curador Urbano / Gerencia</t>
  </si>
  <si>
    <t>F21b.4</t>
  </si>
  <si>
    <t>21b.4</t>
  </si>
  <si>
    <t>Corrección de observaciones del Curador (si aplica) — ajustes menores, documentación adicional o resanes exigidos en visita</t>
  </si>
  <si>
    <t>Correcciones curador: ajustes menores + documentación adicional | Plazo máx. 5 días</t>
  </si>
  <si>
    <t>Dir. Obra / Arq.</t>
  </si>
  <si>
    <t>F21b.5</t>
  </si>
  <si>
    <t>21b.5</t>
  </si>
  <si>
    <t>Acta de recibo definitivo de obra por interventoría + Concepto favorable de Curador — obtención de Licencia de Ocupación oficial</t>
  </si>
  <si>
    <t>Acta recibo definitivo interventoría + Concepto favorable curador + Licencia oficial</t>
  </si>
  <si>
    <t>Interventoría / Curador</t>
  </si>
  <si>
    <t>⚑ H-F21b</t>
  </si>
  <si>
    <t>21b.H</t>
  </si>
  <si>
    <t>HITO CRÍTICO: LICENCIA DE OCUPACIÓN EXPEDIDA — Obra legalmente terminada — prerrequisito para escrituración y entrega física</t>
  </si>
  <si>
    <t>Hito ★★</t>
  </si>
  <si>
    <t>F23</t>
  </si>
  <si>
    <t>FASE 23 — ASEO FINO Y SNAGGING (Pre-entrega — Inspección unidad por unidad)</t>
  </si>
  <si>
    <t>▶ RUTA CRÍTICA — Tras Licencia Ocupación | Equipo dedicado checklist 50 ítems por unidad</t>
  </si>
  <si>
    <t>Dir. Obra / Res. Acabados</t>
  </si>
  <si>
    <t>H-F21b</t>
  </si>
  <si>
    <t>F23.1</t>
  </si>
  <si>
    <t>Limpieza profunda de las 89 aptos + 5 casas + 9 locales: retiro de polvo de construcción, residuos, protectores — aseo industrial</t>
  </si>
  <si>
    <t>Aseo industrial 89 aptos + 5 casas + 9 locales | Retiro polvo + residuos + protectores</t>
  </si>
  <si>
    <t>Empresa de Aseo</t>
  </si>
  <si>
    <t>F23.2</t>
  </si>
  <si>
    <t>Inspección snagging unidad por unidad: lista de chequeo estándar (50 ítems) — retoques pintura, puertas, enchapes, grifería, eléctrico</t>
  </si>
  <si>
    <t>Checklist 50 ítems: pintura + puertas + enchapes + grifería + eléctrico | Acta por unidad</t>
  </si>
  <si>
    <t>Dir. Obra / Inspector</t>
  </si>
  <si>
    <t>F23.3</t>
  </si>
  <si>
    <t>Corrección de observaciones snagging: retoques de pintura + ajuste de puertas y ventanas + sellados + pequeñas reparaciones</t>
  </si>
  <si>
    <t>Retoques pintura + ajuste puertas/ventanas + sellados + reparaciones menores | Firma propietario</t>
  </si>
  <si>
    <t>Res. Acabados / Técnicos</t>
  </si>
  <si>
    <t>F23.4</t>
  </si>
  <si>
    <t>Segunda inspección y cierre de snagging: verificación de correcciones — acta de pre-entrega firmada por director de obra por unidad</t>
  </si>
  <si>
    <t>Segunda inspección: verificación correcciones | Acta pre-entrega firmada por director</t>
  </si>
  <si>
    <t>⚑ H-F23</t>
  </si>
  <si>
    <t>23.H</t>
  </si>
  <si>
    <t>HITO: 100% unidades con snagging cerrado — todas aptas para entrega física a compradores — actas de pre-entrega firmadas</t>
  </si>
  <si>
    <t>F24b</t>
  </si>
  <si>
    <t>24b</t>
  </si>
  <si>
    <t>FASE 24b — ESCRITURACIÓN Y REGISTRO INMOBILIARIO (89 aptos + 5 casas + 9 locales + 11 depósitos + 67 parqueaderos)</t>
  </si>
  <si>
    <t>◄◄ PARALELO con F23 Snagging — Iniciar desde Licencia Ocupación | 2 notarías simultáneas</t>
  </si>
  <si>
    <t>Gerencia / Abogado</t>
  </si>
  <si>
    <t>F24b.1</t>
  </si>
  <si>
    <t>24b.1</t>
  </si>
  <si>
    <t>Elaboración de minutas de compraventa por unidad: abogado especialista — revisión de condiciones, linderos, coeficientes y cargas</t>
  </si>
  <si>
    <t>Minutas por unidad: abogado especialista | Linderos + coeficientes + cargas</t>
  </si>
  <si>
    <t>Abogado</t>
  </si>
  <si>
    <t>F24b.2</t>
  </si>
  <si>
    <t>24b.2</t>
  </si>
  <si>
    <t>Firma de escrituras en notaría: 89 aptos + 5 casas + 9 locales + 11 depósitos + 67 parqueaderos (bloques de 8–10/día, 2 notarías)</t>
  </si>
  <si>
    <t>89 aptos + 5 casas + 9 locales + 11 depósitos + 67 parqueaderos | 8-10 escrituras/día</t>
  </si>
  <si>
    <t>Notario / Gerencia</t>
  </si>
  <si>
    <t>F24b.3</t>
  </si>
  <si>
    <t>24b.3</t>
  </si>
  <si>
    <t>Registro en Oficina de Registro de Instrumentos Públicos (ORIP) — matrícula inmobiliaria individual por cada unidad + folio de matrícula</t>
  </si>
  <si>
    <t>Registro ORIP | Matrícula inmobiliaria individual | Folio de matrícula por unidad</t>
  </si>
  <si>
    <t>Gerencia / ORIP</t>
  </si>
  <si>
    <t>⚑ H-F24b</t>
  </si>
  <si>
    <t>24b.H</t>
  </si>
  <si>
    <t>HITO CRÍTICO: Escrituras 100% firmadas y registradas en ORIP — matrículas inmobiliarias entregadas a compradores</t>
  </si>
  <si>
    <t>F26</t>
  </si>
  <si>
    <t>FASE 26 — ENTREGA GENERAL + PROTOCOLO PROPIEDAD HORIZONTAL (Ley 675/2001 + Decreto 1077/2015)</t>
  </si>
  <si>
    <t>▶ RUTA CRÍTICA — Inicia tras: Licencia + Snagging + Escrituración + Ascensor + Vías</t>
  </si>
  <si>
    <t>Gerencia + Dir. Obra</t>
  </si>
  <si>
    <t>H-F21b + H-F23 + H-F24b + H-F24 + H-F25</t>
  </si>
  <si>
    <t>F26.1</t>
  </si>
  <si>
    <t>Protocolo de entrega: Revisión final de 89 apartamentos + 5 casas + 9 locales — lista de chequeo estandarizada por unidad</t>
  </si>
  <si>
    <t>Checklist estandarizado 50 ítems por unidad | Director + residente | Acta por unidad</t>
  </si>
  <si>
    <t>Dir. Obra / Residente</t>
  </si>
  <si>
    <t>H-F21+H-F23</t>
  </si>
  <si>
    <t>F26.2</t>
  </si>
  <si>
    <t>Entrega de 11 depósitos y 67 parqueaderos: revisión individual — acta de entrega con número de matrícula y nombre de comprador</t>
  </si>
  <si>
    <t>11 depósitos + 67 parqueaderos | Revisión individual | Acta con n° matrícula</t>
  </si>
  <si>
    <t>Dir. Obra / Gerencia</t>
  </si>
  <si>
    <t>F26.3</t>
  </si>
  <si>
    <t>Entrega y registro de planos record (as-built) a la administración: arquitectónico, estructural, hidrosanitario, eléctrico y gas</t>
  </si>
  <si>
    <t>Planos as-built: arquitectónico + estructural + HS + eléctrico + gas | Digital + impreso</t>
  </si>
  <si>
    <t>F26.4</t>
  </si>
  <si>
    <t>Entrega manual de zonas comunes: lobby, salón social, terraza BBQ, gimnasio, cuarto de basuras, cuarto generador — instructivos y mantenimiento</t>
  </si>
  <si>
    <t>Lobby + salón social + terraza BBQ + gimnasio + cuarto basuras + cuarto generador | Instructivos</t>
  </si>
  <si>
    <t>F26.5</t>
  </si>
  <si>
    <t>Primera Asamblea General de Copropietarios (Ley 675/2001) — elección de Consejo de Administración + aprobación de presupuesto inicial</t>
  </si>
  <si>
    <t>Primera Asamblea Ley 675/2001 | Elección Consejo + presupuesto inicial | Notarización acta</t>
  </si>
  <si>
    <t>F26.6</t>
  </si>
  <si>
    <t>Designación y posesión de Administrador de PH — firma de contrato + entrega formal de llaves y accesos maestros a la administración</t>
  </si>
  <si>
    <t>Designación administrador PH | Contrato firmado | Llaves maestras entregadas</t>
  </si>
  <si>
    <t>F26.7</t>
  </si>
  <si>
    <t>Entrega de garantias a la administración: Póliza de estabilidad estructural 10a + impermeabilización 10a + ascensor 1a + acabados 1a</t>
  </si>
  <si>
    <t>Póliza estabilidad estructural 10a + impermeabilización 10a + ascensor 1a + acabados 1a</t>
  </si>
  <si>
    <t>Gerencia / Aseguradora</t>
  </si>
  <si>
    <t>F26.8</t>
  </si>
  <si>
    <t>Entrega recibos de servicios públicos en cero + paz y salvos notariales + actas de vecindad + permisos de obra a los compradores</t>
  </si>
  <si>
    <t>Servicios públicos en cero + paz y salvos + actas vecindad + permisos a compradores</t>
  </si>
  <si>
    <t>F26.9</t>
  </si>
  <si>
    <t>Desmantelamiento del campamento de obra: bodega, contenedores, oficinas provisionales, valla informativa y limpieza final del lote</t>
  </si>
  <si>
    <t>Desmontaje bodega + contenedores + oficinas + valla informativa | Limpieza final lote</t>
  </si>
  <si>
    <t>F26.10</t>
  </si>
  <si>
    <t>Entrega formal a compradores: 100% de actas firmadas por unidad — juego de llaves entregado — fotografía de entrega archivada</t>
  </si>
  <si>
    <t>100% actas firmadas por unidad | 2 llaves entregadas | Fotografía archivo por unidad</t>
  </si>
  <si>
    <t>⚑ H-F26</t>
  </si>
  <si>
    <t>26.H</t>
  </si>
  <si>
    <t>HITO MAYOR: Entrega general completa — 100% unidades entregadas — PH constituida — administración posesionada</t>
  </si>
  <si>
    <t>Hito ★★★</t>
  </si>
  <si>
    <t>F27</t>
  </si>
  <si>
    <t>⚖️ FASE 27 — POSTVENTA Y GARANTÍAS | OBLIGACIÓN LEGAL Ley 1796/2016 + NSR-10 | 6 meses exactos desde Entrega General | NO hace parte del cronograma de construcción</t>
  </si>
  <si>
    <t>180d</t>
  </si>
  <si>
    <t>⚖️ OBLIGACIÓN LEGAL — Ley 1796/2016 + NSR-10 | Inicia tras H-F26 | 6 meses = 183 días</t>
  </si>
  <si>
    <t>Coord. Postventa</t>
  </si>
  <si>
    <t>H-F26</t>
  </si>
  <si>
    <t>F27.1</t>
  </si>
  <si>
    <t>Apertura canal PQRS postventa: plataforma digital + línea directa + WhatsApp empresarial — tiempo respuesta máx. 5 días hábiles</t>
  </si>
  <si>
    <t>PQRS: plataforma digital + línea directa + WhatsApp empresarial | Respuesta máx. 5 días hábiles</t>
  </si>
  <si>
    <t>F27.2</t>
  </si>
  <si>
    <t>Visita de inspección Mes 1: recorrido a 89 aptos + 5 casas — levantamiento de novedades postventa por unidad — asignación de técnico</t>
  </si>
  <si>
    <t>Visita mes 1: 89 aptos + 5 casas | Levantamiento novedades | Asignación técnico por unidad</t>
  </si>
  <si>
    <t>Técnico Postventa</t>
  </si>
  <si>
    <t>F27.3</t>
  </si>
  <si>
    <t>Corrección de observaciones Mes 1: retoques de pintura, ajuste de puertas y ventanas, sellados, reparación de goteras — firma del propietario</t>
  </si>
  <si>
    <t>Retoques pintura + ajuste puertas/ventanas + sellados + goteras | Firma propietario</t>
  </si>
  <si>
    <t>F27.4</t>
  </si>
  <si>
    <t>Inspección estructural Mes 2 (NSR-10 / Ley 1796): revisión de fisuras, humedades en muros y losas, comportamiento de cubierta</t>
  </si>
  <si>
    <t>NSR-10 / Ley 1796 | Revisión fisuras + humedades + cubierta | Ing. estructural</t>
  </si>
  <si>
    <t>Ing. Estructural / Postventa</t>
  </si>
  <si>
    <t>F27.5</t>
  </si>
  <si>
    <t>Revisión Mes 3: inspección redes hidrosanitarias (goteos, filtraciones), eléctricas (tomas, breakers), gas (olfateo + detección electrónica)</t>
  </si>
  <si>
    <t>HS: goteos + filtraciones | Eléctrico: tomas + breakers | Gas: detección electrónica</t>
  </si>
  <si>
    <t>Técnico Postventa / Especialistas</t>
  </si>
  <si>
    <t>F27.6</t>
  </si>
  <si>
    <t>Atención continua Meses 4–6: registro y resolución de PQRS — cierre documentado de cada caso con foto y firma de propietario</t>
  </si>
  <si>
    <t>Registro y resolución PQRS meses 4-6 | Cierre documentado + foto + firma propietario</t>
  </si>
  <si>
    <t>F27.7</t>
  </si>
  <si>
    <t>Mantenimiento preventivo ascensor SCALA Mes 1 y Mes 3: lubricación, ajuste de guías, revisión eléctrica — bitacóra de mantenimiento</t>
  </si>
  <si>
    <t>Meses 1 y 3: lubricación + ajuste guías + revisión eléctrica SCALA | Bitácora mantenimiento</t>
  </si>
  <si>
    <t>F27.8</t>
  </si>
  <si>
    <t>Informe de cierre de garantías (mes 6): consolidado de novedades atendidas por unidad + estado final de PQRS + liquidación del equipo postventa</t>
  </si>
  <si>
    <t>Informe consolidado mes 6: novedades atendidas + estado PQRS + liquidación equipo</t>
  </si>
  <si>
    <t>Gerencia / Coord. Postventa</t>
  </si>
  <si>
    <t>⚑ H-F27</t>
  </si>
  <si>
    <t>27.H</t>
  </si>
  <si>
    <t>HITO FINAL POSTVENTA: PQRS 100% cerradas — garantias activas — propietarios satisfechos — equipo postventa liquidado</t>
  </si>
  <si>
    <t>F28*</t>
  </si>
  <si>
    <t>28*</t>
  </si>
  <si>
    <t>FASE 28* — TRÁMITE Y EXPEDICFÍON PROPIEDAD HORIZONTAL (Ley 675/2001 + Decreto 1077/2015)</t>
  </si>
  <si>
    <t>◄◄ PARALELO con postventa — Iniciar desde licencia ocupación con abogado especialista</t>
  </si>
  <si>
    <t>Gerencia / Abogado PH</t>
  </si>
  <si>
    <t>H-F21 (Licencia Ocupación)</t>
  </si>
  <si>
    <t>F28*.1</t>
  </si>
  <si>
    <t>28*.1</t>
  </si>
  <si>
    <t>Encargo abogado especialista en PH (Ley 675/2001) — elaboración del borrador del Reglamento de Propiedad Horizontal</t>
  </si>
  <si>
    <t>Borrador Reglamento PH (Ley 675/2001) | Abogado especialista | Revisión gerencia</t>
  </si>
  <si>
    <t>Abogado PH</t>
  </si>
  <si>
    <t>H-F21</t>
  </si>
  <si>
    <t>F28*.2</t>
  </si>
  <si>
    <t>28*.2</t>
  </si>
  <si>
    <t>Determinación de coeficientes de copropiedad por unidad (89 aptos + 5 casas + 9 locales + 11 depósitos + 67 parqueaderos)</t>
  </si>
  <si>
    <t>Coeficientes: 89 aptos + 5 casas + 9 locales + 11 depósitos + 67 parqueaderos | Arq + abogado</t>
  </si>
  <si>
    <t>Arq. / Abogado PH</t>
  </si>
  <si>
    <t>F28*.3</t>
  </si>
  <si>
    <t>28*.3</t>
  </si>
  <si>
    <t>Revisión y aprobación interna del reglamento PH: gerencia + abogado + revisor fiscal si aplica</t>
  </si>
  <si>
    <t>Revisión interna reglamento | Gerencia + abogado + revisor fiscal si aplica</t>
  </si>
  <si>
    <t>F28*.4</t>
  </si>
  <si>
    <t>28*.4</t>
  </si>
  <si>
    <t>Protocolización del Reglamento PH en Notaria: firma del representante legal + escritura pública de constitución</t>
  </si>
  <si>
    <t>Escritura pública constitución PH | Firma representante legal | Notaria</t>
  </si>
  <si>
    <t>F28*.5</t>
  </si>
  <si>
    <t>28*.5</t>
  </si>
  <si>
    <t>Registro de la escritura PH en la Oficina de Registro de Instrumentos Públicos (ORIP) — obtención de número de folio de matrícula</t>
  </si>
  <si>
    <t>Registro escritura PH en ORIP | Número folio de matrícula | Certificado de tradición</t>
  </si>
  <si>
    <t>F28*.6</t>
  </si>
  <si>
    <t>28*.6</t>
  </si>
  <si>
    <t>Obtención de RUT de la copropiedad ante DIAN + apertura de cuenta bancaria de administración PH</t>
  </si>
  <si>
    <t>RUT copropiedad DIAN | Apertura cuenta bancaria administración PH</t>
  </si>
  <si>
    <t>Contador / Gerencia</t>
  </si>
  <si>
    <t>F28*.7</t>
  </si>
  <si>
    <t>28*.7</t>
  </si>
  <si>
    <t>Instalación de placa de nomenclatura oficial del conjunto: nombre, dirección, número catastral — cumplimiento Decreto 1077/2015</t>
  </si>
  <si>
    <t>Placa nomenclatura oficial: nombre + dirección + número catastral | Decreto 1077/2015</t>
  </si>
  <si>
    <t>F28*.8</t>
  </si>
  <si>
    <t>28*.8</t>
  </si>
  <si>
    <t>Entrega de carpeta legal completa al administrador PH: escritura PH + reglamento + planos + matrículas + pólizas de garantía + manuales</t>
  </si>
  <si>
    <t>Carpeta completa: escritura PH + reglamento + planos + matrículas + pólizas + manuales</t>
  </si>
  <si>
    <t>Gerencia / Dir. Obra</t>
  </si>
  <si>
    <t>F22D</t>
  </si>
  <si>
    <t>22D</t>
  </si>
  <si>
    <t>FASE 22D — TANQUE DE AGUA POTABLE | 2 Tanques f'c=4000 PSI | Cinta PVC Ø22 | 45,000 L c/u | NSR-10+RAS 2000</t>
  </si>
  <si>
    <t>55d</t>
  </si>
  <si>
    <t>★ PARALELO con F3 | 2 tanques 90,000 L total | f'c=4000 PSI+impermeabilizante integral | Cinta PVC Ø22 | 3 vaciados secuenciales</t>
  </si>
  <si>
    <t>F22D-1</t>
  </si>
  <si>
    <t>22D.1</t>
  </si>
  <si>
    <t>SUBFASE 1 — LOCALIZACIÓN + REPLANTEO TOPOGRÁFICO + EXCAVACIÓN</t>
  </si>
  <si>
    <t>Topógrafo / Res. Obra</t>
  </si>
  <si>
    <t>22D.1.1</t>
  </si>
  <si>
    <t>Localización del tanque: sin interferir con cimentación Torre, redes ni zonas de maniobra</t>
  </si>
  <si>
    <t>Distancia mín. 3.0m de cimentación Torre | Libre de redes eléctricas enterradas</t>
  </si>
  <si>
    <t>22D.1.2</t>
  </si>
  <si>
    <t>Replanteo topográfico con estación total: ejes tanque, niveles losa fondo y cota de rebalse</t>
  </si>
  <si>
    <t>★ Replanteo define todo lo demás | Dim. tanque: 5.0m×4.5m | Prof. excavación: 2.70m</t>
  </si>
  <si>
    <t>22D.1.3</t>
  </si>
  <si>
    <t>Excavación mecánica: 2 pozos 5.50×5.0×2.80m prof. c/u | Taludes 1:0.5 | Retiro escombrera</t>
  </si>
  <si>
    <t>Vol: 2×(5.50×5.0×2.80)=154 m³ | Dejar 25cm adicional en fondo para plantilla | NSR-10 I.4</t>
  </si>
  <si>
    <t>22D.1.4</t>
  </si>
  <si>
    <t>Excavación manual ajuste fondo + verificación cota exacta + compactación manual con pisón</t>
  </si>
  <si>
    <t>Fondo firme y plano | Tolerancia ±1cm | Compactación K≥85% Proctor</t>
  </si>
  <si>
    <t>Res. / Cuadrilla</t>
  </si>
  <si>
    <t>22D.1.5</t>
  </si>
  <si>
    <t>Plantilla de limpieza: concreto pobre f'c=140 kg/cm² e=5cm sobre fondo excavado</t>
  </si>
  <si>
    <t>Curado mín. 12h antes de instalar acero | Verificar nivelada ±5mm | No es estructural</t>
  </si>
  <si>
    <t>⚑ H22D.1</t>
  </si>
  <si>
    <t>22D.H.1</t>
  </si>
  <si>
    <t>⚑ HITO 1: EXCAVACIÓN Y PLANTILLA TERMINADAS — Cotas verificadas | Fondo limpio y nivelado</t>
  </si>
  <si>
    <t>Interventoría firma acta antes de instalar acero</t>
  </si>
  <si>
    <t>Interventoría / Topógrafo</t>
  </si>
  <si>
    <t>F22D-2</t>
  </si>
  <si>
    <t>22D.2</t>
  </si>
  <si>
    <t>SUBFASE 2 — ACERO LOSA FONDO + REVISIÓN SUPERVISIÓN TÉCNICA</t>
  </si>
  <si>
    <t>H22D.1</t>
  </si>
  <si>
    <t>22D.2.1</t>
  </si>
  <si>
    <t>Habilitado acero losa fondo: malla doble #4@15cm en ambas direcciones | fy=420MPa</t>
  </si>
  <si>
    <t>Losa e=20cm | Doble malla | Recubrimiento: 4cm cara suelo / 3cm cara agua | NSR-10 C.12</t>
  </si>
  <si>
    <t>22D.2.2</t>
  </si>
  <si>
    <t>Instalación malla inferior losa fondo sobre plantilla con separadores mortero h=4cm</t>
  </si>
  <si>
    <t>★ Recubrimiento 4cm cara suelo es crítico | Separadores c/0.80m | Alambre negro #18</t>
  </si>
  <si>
    <t>22D.2.3</t>
  </si>
  <si>
    <t>Instalación separadores + malla superior + bastones arranque muro doblados a 90°</t>
  </si>
  <si>
    <t>Bastones: 25cm en losa + doblez | Long. libre para muro: 50cm mín. (40Ø) | Sillas h=12cm c/0.60m</t>
  </si>
  <si>
    <t>22D.2.4</t>
  </si>
  <si>
    <t>★ REVISIÓN INTERVENTORÍA acero losa fondo ANTES de continuar | Acta firmada NSR-10 C.7.4</t>
  </si>
  <si>
    <t>Chequeo: ✓ #4 ✓ @15cm ✓ Doble malla ✓ Recub. 4cm/3cm ✓ Bastones ✓ Traslapes ≥40Ø</t>
  </si>
  <si>
    <t>Interventoría / Sup. Técnica</t>
  </si>
  <si>
    <t>⚑ H22D.2</t>
  </si>
  <si>
    <t>22D.H.2</t>
  </si>
  <si>
    <t>⚑ HITO 2: ACERO LOSA FONDO APROBADO — Acta interventoría firmada</t>
  </si>
  <si>
    <t>★ Autoriza cinta PVC y pasaruros (Subfase 3)</t>
  </si>
  <si>
    <t>F22D-3</t>
  </si>
  <si>
    <t>22D.3</t>
  </si>
  <si>
    <t>SUBFASE 3 — CINTA PVC Ø22 (WATERSTOP) + PASARUROS EMPOTRADOS</t>
  </si>
  <si>
    <t>Plomero / Armador</t>
  </si>
  <si>
    <t>H22D.2</t>
  </si>
  <si>
    <t>22D.3.1</t>
  </si>
  <si>
    <t>Instalación cinta PVC Ø22 (waterstop) en junta losa-muro: centrada en espesor, amarrada al acero c/30cm</t>
  </si>
  <si>
    <t>★ FUNCIÓN CRÍTICA: sella la junta de construcción (punto más vulnerable de impermeabilidad)</t>
  </si>
  <si>
    <t>22D.3.2</t>
  </si>
  <si>
    <t>Empalmes cinta PVC Ø22: soldadura térmica o adhesivo PVC | Todos herméticos | Verificar con agua jabonosa</t>
  </si>
  <si>
    <t>Termofusión o adhesivo 2 componentes | Solapamiento mín. 15cm | Presión fraguado 5 min mín.</t>
  </si>
  <si>
    <t>22D.3.3</t>
  </si>
  <si>
    <t>Instalación pasaruros entrada, salida, limpieza, rebose y ventilación — TODOS empotrados antes del vaciado</t>
  </si>
  <si>
    <t>★ CRÍTICO: si se olvidan → perforar concreto rompe impermeabilización | PVC cédula 40 o fierro galv.</t>
  </si>
  <si>
    <t>Plomero / Res.</t>
  </si>
  <si>
    <t>22D.3.4</t>
  </si>
  <si>
    <t>Verificación final pasaruros: posición correcta según plano HS + fijación + tapones provisionales</t>
  </si>
  <si>
    <t>Lista de cada pasaruro: nombre, diámetro, posición, altura | Fotografiar antes de encofrar</t>
  </si>
  <si>
    <t>⚑ H22D.3</t>
  </si>
  <si>
    <t>22D.H.3</t>
  </si>
  <si>
    <t>⚑ HITO 3: CINTA PVC + PASARUROS INSTALADOS — Empalmes verificados | Confirmados por interventoría</t>
  </si>
  <si>
    <t>★ Interventoría fotografía estado final antes de encofrar | Autoriza encofrado arranque</t>
  </si>
  <si>
    <t>Interventoría / Plomero</t>
  </si>
  <si>
    <t>F22D-4</t>
  </si>
  <si>
    <t>22D.4</t>
  </si>
  <si>
    <t>SUBFASE 4 — ENCOFRADO ARRANQUE MURO + 1er VACIADO: Losa e=20cm + Arranque h=15cm (f'c=4000 PSI)</t>
  </si>
  <si>
    <t>Encofrador / Concretero</t>
  </si>
  <si>
    <t>H22D.3</t>
  </si>
  <si>
    <t>22D.4.1</t>
  </si>
  <si>
    <t>Encofrado perimetral arranque de muro: tablero metálico/madera e=2.5cm + h=15cm del arranque</t>
  </si>
  <si>
    <t>Arranque 15cm permite alinear formaleta de muros | Estacas externas c/60cm | Cinta PVC centrada</t>
  </si>
  <si>
    <t>22D.4.2</t>
  </si>
  <si>
    <t>Revisión pre-vaciado: supervisión verifica acero, cinta PVC, pasaruros, encofrado | Acta firmada</t>
  </si>
  <si>
    <t>★ OBLIGATORIO NSR-10 C.7.4 | Interventor + residente + ing. HS | Sin acta → NO se vacía</t>
  </si>
  <si>
    <t>22D.4.3</t>
  </si>
  <si>
    <t>1er VACIADO — Losa e=20cm + Arranque muro h=15cm: f'c=4000 PSI | Aditivo impermeabilizante | 6 cilindros</t>
  </si>
  <si>
    <t>★ Impermeabilizante INTEGRAL en la mezcla desde planta | Asentamiento 15-18cm | Vol: ~9.0 m³</t>
  </si>
  <si>
    <t>22D.4.4</t>
  </si>
  <si>
    <t>Acabado losa fondo: platacho ±3mm | Pendiente 2% hacia desagüe | Curador químico + plástico</t>
  </si>
  <si>
    <t>Pendiente interior crítica para vaciado en mantenimiento | Verificar con nivel láser</t>
  </si>
  <si>
    <t>22D.4.5</t>
  </si>
  <si>
    <t>Curado losa fondo y arranque mín. 7 días f'c=4000 PSI | Húmedo: cobertor fique o yute + plástico</t>
  </si>
  <si>
    <t>★ Los 7 días son inamovibles | Curado deficiente → resistencia hasta 40% inferior | Cilindros 7d: ≥80% f'c</t>
  </si>
  <si>
    <t>⚑ H22D.4</t>
  </si>
  <si>
    <t>22D.H.4</t>
  </si>
  <si>
    <t>⚑ HITO 4: 1er VACIADO COMPLETO — Losa fondo curada | Cilindros 7d aprobados</t>
  </si>
  <si>
    <t>★ Autoriza acero faltante de muros | Cilindros 7d: ≥80% f'c=4000 PSI</t>
  </si>
  <si>
    <t>Interventoría / Laboratorio</t>
  </si>
  <si>
    <t>F22D-5</t>
  </si>
  <si>
    <t>22D.5</t>
  </si>
  <si>
    <t>SUBFASE 5 — ACERO MUROS FALTANTE + ENCOFRADO MUROS + 2do VACIADO (f'c=4000 PSI)</t>
  </si>
  <si>
    <t>Armador / Encofrador / Concretero</t>
  </si>
  <si>
    <t>H22D.4</t>
  </si>
  <si>
    <t>22D.5.1</t>
  </si>
  <si>
    <t>Acero vertical faltante muros: traslape bastones (mín. 40Ø=200mm en #5) + acero horizontal int/ext</t>
  </si>
  <si>
    <t>Muros e=20cm h=2.30m | #5@15cm vert ambas caras | #4@15cm horiz ambas caras | Recub. 4cm ext/3cm int</t>
  </si>
  <si>
    <t>22D.5.2</t>
  </si>
  <si>
    <t>Separadores muros: mortero/PVC e=4cm exterior / e=3cm interior c/0.60mx0.60m | Amarre al refuerzo</t>
  </si>
  <si>
    <t>NO usar separadores metálicos cara interior: oxidacion mancha el agua | Mortero e=3cm o plastico grado sanitario</t>
  </si>
  <si>
    <t>22D.5.3</t>
  </si>
  <si>
    <t>Verificación pasaruros en muros: posición correcta y sujetos al refuerzo antes de encofrar</t>
  </si>
  <si>
    <t>Lista de control: diámetro, material, posicion H y V, fijacion, tapon | Fotografiar antes de encofrar</t>
  </si>
  <si>
    <t>22D.5.4</t>
  </si>
  <si>
    <t>REVISION INTERVENTORIA acero muros: doble malla, traslapes, recubrimientos, pasaruros | Acta firmada</t>
  </si>
  <si>
    <t>Sin acta no se encofra | Ultima oportunidad antes del 2do vaciado | NSR-10 C.7.4</t>
  </si>
  <si>
    <t>Interventoria / Ing. HS</t>
  </si>
  <si>
    <t>22D.5.5</t>
  </si>
  <si>
    <t>Formaleta metálica muros: paneles cara exterior e interior | Aplome 3mm | Tirantes para espesor e=20cm</t>
  </si>
  <si>
    <t>Aceite desmoldante en toda la formaleta | Paneles 0.90x1.80m | Arriostres cada 0.80m</t>
  </si>
  <si>
    <t>22D.5.6</t>
  </si>
  <si>
    <t>2do VACIADO — Muros h=2.30m e=20cm: f'c=4000 PSI + aditivo impermeabilizante | Capas 30cm | Vol: 17.48 m3</t>
  </si>
  <si>
    <t>Vaciar despacio en capas 30cm | NO golpear formaleta con vibrador | Verificar NO se mueven pasaruros</t>
  </si>
  <si>
    <t>22D.5.7</t>
  </si>
  <si>
    <t>Desencofre muros (mín. 24h) + curado húmedo 7 días: riego 3 veces/día + cobertor yute húmedo</t>
  </si>
  <si>
    <t>Inspección: sin coqueras, sin fisuras, pasaruros en posición, cinta PVC visible en junta losa-muro</t>
  </si>
  <si>
    <t>H22D.5</t>
  </si>
  <si>
    <t>22D.H.5</t>
  </si>
  <si>
    <t>HITO 5: MUROS TERMINADOS — f'c=4000 PSI curado 7 días | Cilindros aprobados | Sin coqueras</t>
  </si>
  <si>
    <t>Reparar coqueras con mortero epoxi ANTES de placa tapa | Cilindros 7d mayor a 80% f'c=4000 PSI</t>
  </si>
  <si>
    <t>Interventoria / Laboratorio</t>
  </si>
  <si>
    <t>F22D-6</t>
  </si>
  <si>
    <t>22D.6</t>
  </si>
  <si>
    <t>SUBFASE 6 — ACERO PLACA TAPA + ENCOFRADO + 3er VACIADO + TAPAS INSPECCION + ESCALERILLA</t>
  </si>
  <si>
    <t>22D.6.1</t>
  </si>
  <si>
    <t>Encofrado inferior placa tapa: puntales c/1.0m + vigas sopor + tablero | Nivelación laser | Placa e=15cm</t>
  </si>
  <si>
    <t>Puntales transmiten carga a los muros | Verificar corona muros limpia y rugosa para adherencia</t>
  </si>
  <si>
    <t>22D.6.2</t>
  </si>
  <si>
    <t>Acero placa tapa: malla doble #4@15cm c.s. | Recubrimiento 3cm por cara | Bastones perimetrales</t>
  </si>
  <si>
    <t>Refuerzo en vanos tapas: marco #5 perimetral | Vanos: 0.60x0.60m c/u | Malla doble ambas caras</t>
  </si>
  <si>
    <t>22D.6.3</t>
  </si>
  <si>
    <t>Marcos tapas inspeccion: 2 und x 60x60cm por tanque (acero galvanizado) empotrados + ventilaciones Ø4 PVC</t>
  </si>
  <si>
    <t>Instalar ANTES de vaciar la placa | Quedan embebidos en el concreto | 1 tapa inspeccion + 1 ventilacion por tanque</t>
  </si>
  <si>
    <t>Herrero / Res.</t>
  </si>
  <si>
    <t>22D.6.4</t>
  </si>
  <si>
    <t>Escalerilla descenso: peldaños acero inoxidable c/30cm | h=2.30m | Anclaje quimico en muro curado</t>
  </si>
  <si>
    <t>INOXIDABLE (contacto con agua potable) | Separacion de pared: 15cm | 8 peldanos | Resina epoxi</t>
  </si>
  <si>
    <t>22D.6.5</t>
  </si>
  <si>
    <t>REVISION INTERVENTORIA placa tapa: acero, marcos, ventilaciones, escalerilla, encofrado | Acta NSR-10</t>
  </si>
  <si>
    <t>OBLIGATORIO | Ultima revision antes del 3er vaciado | Sin acta no se vacía</t>
  </si>
  <si>
    <t>22D.6.6</t>
  </si>
  <si>
    <t>3er VACIADO — Placa tapa e=15cm: f'c=4000 PSI + aditivo impermeabilizante | Vol: 6.75 m3 | Acabado helicoptero</t>
  </si>
  <si>
    <t>Vaciar de forma continua | Verificar marcos tapas a nivel correcto | 4 cilindros | NO caminar hasta 24h</t>
  </si>
  <si>
    <t>22D.6.7</t>
  </si>
  <si>
    <t>Curado placa tapa 7 días + impermeabilización cara superior: Sikafill 2 manos + Sikaflex 1A juntas tapa-marco</t>
  </si>
  <si>
    <t>Curado húmedo: regar 3 veces al dia | Sikafill 0.5 kg/m2 c/mano | Esperar 24h entre manos</t>
  </si>
  <si>
    <t>Res. / Impermeabilizador</t>
  </si>
  <si>
    <t>H22D.6</t>
  </si>
  <si>
    <t>22D.H.6</t>
  </si>
  <si>
    <t>HITO 6: ESTRUCTURA TANQUE COMPLETA — 3 vaciados terminados | Impermeabilización exterior | Escalerilla</t>
  </si>
  <si>
    <t>Autoriza impermeabilización interior | Cilindros 28d mayor a 100% f'c=4000 PSI | Tapas funcionando</t>
  </si>
  <si>
    <t>F22D-7</t>
  </si>
  <si>
    <t>22D.7</t>
  </si>
  <si>
    <t>SUBFASE 7 — IMPERMEABILIZACIÓN INTERIOR + INSTALACIONES + PRUEBA HIDRÁULICA + DESINFECCIÓN</t>
  </si>
  <si>
    <t>Plomero / Impermeabilizador</t>
  </si>
  <si>
    <t>22D.7.1</t>
  </si>
  <si>
    <t>Preparación interior: hidrolavadora 3,000 PSI + reparacion coqueras mortero epoxi + mediacana angulos R=3cm</t>
  </si>
  <si>
    <t>Mediacana piso-muro y muro-tapa R=3cm | Evita acumulacion de agua | Aplicar ANTES de impermeabilización</t>
  </si>
  <si>
    <t>22D.7.2</t>
  </si>
  <si>
    <t>Impermeabilización interior: Penetron o Xypex Concentrate 2 manos + Sikalastic 701 angulos | 1mm min c/mano</t>
  </si>
  <si>
    <t>CRISTALIZACIÓN: cura ante presencia de agua | Aplicar sobre concreto HUMEDO | 0.8 kg/m2 x 2 manos | 220.4 m2</t>
  </si>
  <si>
    <t>22D.7.3</t>
  </si>
  <si>
    <t>Tuberias definitivas: llenado Ø2 dist. Ø3 rebose Ø4 limpieza fondo Ø4 | Doble sellado Sikaflex sanitario</t>
  </si>
  <si>
    <t>Junta tubo-pasaruro = segundo punto mas critico | Doble sellado por dentro y por fuera | PVC cedula 40 o CPVC</t>
  </si>
  <si>
    <t>22D.7.4</t>
  </si>
  <si>
    <t>Sistema hidráulico: bomba 2HP 220V + hidroneumático 60L 3bar + tablero eléctrico + SCADA nivel básico</t>
  </si>
  <si>
    <t>Cuarto de bombas antes de instalar equipos | 2 sensores ultrasónicos nivel min/max + alarma audible</t>
  </si>
  <si>
    <t>22D.7.5</t>
  </si>
  <si>
    <t>PRUEBA HIDRÁULICA: llenar hasta rebose | Mantener 48 horas | Tolerancia: caida nivel max 1cm en 48h</t>
  </si>
  <si>
    <t>Si hay filtración: localizar, reparar, repetir desde cero | Caida max 1cm = APROBADO | Acta interventoria</t>
  </si>
  <si>
    <t>Plomero / Interventoria</t>
  </si>
  <si>
    <t>22D.7.6</t>
  </si>
  <si>
    <t>Desinfección: hipoclorito NaOCl 10% a 50 ppm | Reposo 12h min. | Enjuague hasta cloro menor a 0.5 ppm</t>
  </si>
  <si>
    <t>4.5 kg NaOCl 10% para 90,000 L | Enjuague hasta menor a 0.5 ppm en grifo mas lejano | NTC 813 / RAS 2000</t>
  </si>
  <si>
    <t>Plomero / Lab. Calidad Agua</t>
  </si>
  <si>
    <t>22D.7.7</t>
  </si>
  <si>
    <t>Tapa de inspeccion definitiva: inoxidable 60x60cm + cierre hermetico + malla antiinsectos + candado</t>
  </si>
  <si>
    <t>RAS 2000 requisito agua potable | Acero inox. 2mm | Cierre con manija y candado | Malla 1mm inox.</t>
  </si>
  <si>
    <t>Herrero / Plomero</t>
  </si>
  <si>
    <t>22D.7.8</t>
  </si>
  <si>
    <t>Relleno lateral fosa: recebo b-600 compactado capas 20cm K mayor a 90% | Relleno gradual y simetrico</t>
  </si>
  <si>
    <t>Compactador de placa vibradora (NO rodillo pesado) | K mayor a 90% Proctor | No danar impermealizacion exterior</t>
  </si>
  <si>
    <t>H22D.F</t>
  </si>
  <si>
    <t>22D.H.FINAL</t>
  </si>
  <si>
    <t>HITO FINAL 22D — TANQUE 90,000 L OPERATIVO | Prueba hidráulica 48h aprobada | Desinfeccion NTC 813</t>
  </si>
  <si>
    <t>Documentacion: 3 actas vaciado+cilindros | Prueba hidráulica 48h | Acta desinfeccion NTC 813 | Planos as-built</t>
  </si>
  <si>
    <t>Dir. Obra / Interventoria / Ing. HS</t>
  </si>
  <si>
    <t>SECUENCIA TANQUE: 1-Localiz. 2-Excavacion 3-Plantilla 4-Acero losa 5-REVISION 6-Cinta PVC+Pasaruros 7-Encofrado 8-1er VACIADO f'c=4000 PSI 9-Curado 7d 10-Acero muros 11-REVISION 12-Formaleta 13-2do VACIADO 14-Curado 7d 15-Acero tapa+marcos+escalerilla 16-REVISION 17-3er VACIADO 18-Curado 7d 19-Impermeab. Penetron 20-Prueba hidraulica 48h 21-Desinfeccion NTC 813 22-TANQUE OPERATIVO</t>
  </si>
  <si>
    <t>⚑ H-F28*</t>
  </si>
  <si>
    <t>ANÁLISIS DE PRECIOS UNITARIOS — FASE 1: DESCAPOTE, EXCAVACIÓN Y PREPARACIÓN DEL TERRENO</t>
  </si>
  <si>
    <t>Proyecto: Torre Santa Isabel | CVA Constructora SAS | Dosquebradas, Risaralda | NSR-10 | Inicio: 01/05/2026</t>
  </si>
  <si>
    <t>Fuentes MO: Decreto 1469/2025 SMMLV 2026 = $1.750.905/mes → jornal oficial = $58.363/día | Fuente materiales: Gobernación Risaralda Precios Unitarios 2025 + INVIAS APU 2025-2 Región Centro-Occidente</t>
  </si>
  <si>
    <t>CONVENCIONES: Azul = Insumo directo (materiales) | Verde = Mano de obra y equipo | Naranja = Subtotales | Rojo = AIU y Total</t>
  </si>
  <si>
    <t>CÓD.</t>
  </si>
  <si>
    <t>DESCRIPCIÓN DE LA ACTIVIDAD / INSUMO</t>
  </si>
  <si>
    <t>UND</t>
  </si>
  <si>
    <t>CANT.</t>
  </si>
  <si>
    <t>DESPERD. %</t>
  </si>
  <si>
    <t>V. UNITARIO ($)</t>
  </si>
  <si>
    <t>SUBTOTAL ($)</t>
  </si>
  <si>
    <t>FUENTE / NORMA</t>
  </si>
  <si>
    <t>APU-F1.1</t>
  </si>
  <si>
    <t>DESCAPOTE Y RETIRO DE CAPA VEGETAL (e = 0,30 m) — Disposición escombrera autorizada</t>
  </si>
  <si>
    <t>Ref. NSR-10 + Decreto 1076/2015 | Escombrera certificada municipio Dosquebradas | Registro fotográfico obligatorio</t>
  </si>
  <si>
    <t>EQUIPOS Y HERRAMIENTA</t>
  </si>
  <si>
    <t>Retroexcavadora Cat 320 (incl. operador) — rendimiento 80 m²/hora en capa vegetal</t>
  </si>
  <si>
    <t>Gob. Risaralda 2025 + mercado regional</t>
  </si>
  <si>
    <t>Volqueta doble troque 8 m³ (transporte material a escombrera, d ≤ 15 km)</t>
  </si>
  <si>
    <t>viaje</t>
  </si>
  <si>
    <t>Gob. Risaralda 2025</t>
  </si>
  <si>
    <t>Herramienta menor (palas, barras, picas) — 3% de MO</t>
  </si>
  <si>
    <t>gl</t>
  </si>
  <si>
    <t>Criterio 3% MO — estándar sector</t>
  </si>
  <si>
    <t>MANO DE OBRA</t>
  </si>
  <si>
    <t>Oficial de construcción (dirección descapote + levantamiento topográfico visual)</t>
  </si>
  <si>
    <t>Decreto 1469/2025 — SMMLV 2026</t>
  </si>
  <si>
    <t>Ayudante de construcción (cargue, clasificación y apoyo descapote)</t>
  </si>
  <si>
    <t>Escala salarial sector construcción Eje Cafetero 2026</t>
  </si>
  <si>
    <t>Topografía (verificación cotas finales de descapote)</t>
  </si>
  <si>
    <t>CAMACOL Eje Cafetero 2025</t>
  </si>
  <si>
    <t>SUBTOTAL DIRECTO (Equipo + MO)</t>
  </si>
  <si>
    <t>AIU (Administración 10% + Imprevistos 5% + Utilidad 8% = 23%)</t>
  </si>
  <si>
    <t>COSTO TOTAL UNITARIO APU-F1.1 (por m²)</t>
  </si>
  <si>
    <t>APU-F1.2</t>
  </si>
  <si>
    <t>EXCAVACIÓN GENERAL A COTAS DE DISEÑO — Control topográfico permanente — Terreno arcilloso compacto</t>
  </si>
  <si>
    <t>NSR-10 C.1.6 | Control topográfico c/50 m² | Taludes 1:1 en suelo arcilloso | Retiro a escombrera certificada</t>
  </si>
  <si>
    <t>EQUIPOS</t>
  </si>
  <si>
    <t>Retroexcavadora Cat 320 (incl. operador, combustible y mant.) — rend. 60 m³/h suelo arcilloso</t>
  </si>
  <si>
    <t>Gob. Risaralda 2025 + mercado Dosquebradas</t>
  </si>
  <si>
    <t>Volqueta doble troque 8 m³ — transporte a escombrera d ≤ 15 km (incl. disposición final)</t>
  </si>
  <si>
    <t>Señalización vial temporal y cerramiento bordes excavación (prorata por m³)</t>
  </si>
  <si>
    <t>Estimado SISO — Plan Manejo Ambiental</t>
  </si>
  <si>
    <t>Oficial (dirección excavación + verificación cotas)</t>
  </si>
  <si>
    <t>Topografía (verificación cotas c/50 m² — NSR-10 C.1.6)</t>
  </si>
  <si>
    <t>SUBTOTAL DIRECTO</t>
  </si>
  <si>
    <t>AIU 23%</t>
  </si>
  <si>
    <t>COSTO TOTAL UNITARIO APU-F1.2 (por m³)</t>
  </si>
  <si>
    <t>APU-F1.4</t>
  </si>
  <si>
    <t>EXCAVACIÓN PUNTUAL POZOS PARA PILOTES Ø40 cm — 147 pozos segmún cuadrícula | Prof. variable ≈12,0 m</t>
  </si>
  <si>
    <t>m</t>
  </si>
  <si>
    <t>NSR-10 C.18 | Equipo rotatorio o percutivo | Retiro material puntual | Estacas señalización</t>
  </si>
  <si>
    <t>EQUIPOS Y MATERIALES</t>
  </si>
  <si>
    <t>Equipo de perforación rotatorio Ø40 cm (incl. operador, brocas, lodos) — rend. 3 m/hr</t>
  </si>
  <si>
    <t>Cotización piloteros Eje Cafetero 2025-2026</t>
  </si>
  <si>
    <t>Retiro material perf. + Volqueta (por ml excavado)</t>
  </si>
  <si>
    <t>Lodo estabilizador (bentonita) para perforación en estrato blando</t>
  </si>
  <si>
    <t>Proveedores bentonita Pereira 2025</t>
  </si>
  <si>
    <t>Oficial pilotero (control perforación + registro diario)</t>
  </si>
  <si>
    <t>Escala piloteros especializados Colombia 2025</t>
  </si>
  <si>
    <t>Ayudante (apoyo perforación)</t>
  </si>
  <si>
    <t>COSTO TOTAL UNITARIO APU-F1.4 (por ml)</t>
  </si>
  <si>
    <t>TABLA RESUMEN FASE 1</t>
  </si>
  <si>
    <t>CANTIDAD OBRA</t>
  </si>
  <si>
    <t>V. UNIT. APU ($)</t>
  </si>
  <si>
    <t>V. TOTAL ($)</t>
  </si>
  <si>
    <t>Descapote y retiro capa vegetal e=0,30 m</t>
  </si>
  <si>
    <t>Excavación general a cotas de diseño</t>
  </si>
  <si>
    <t>APU-F1.3</t>
  </si>
  <si>
    <t>Retiro material sobrante disposición escombrera (propio en APU-F1.2)</t>
  </si>
  <si>
    <t>Excavación puntual pozos pilotes Ø40 cm (147 pilotes × 12 m)</t>
  </si>
  <si>
    <t>TOTAL FASE 1</t>
  </si>
  <si>
    <t>ANÁLISIS DE PRECIOS UNITARIOS — FASE 2: REDES HIDROSANITARIAS Y ELÉCTRICAS PROVISIONALES</t>
  </si>
  <si>
    <t>Proyecto: Torre Santa Isabel | CVA Constructora SAS | Dosquebradas, Risaralda | RETIE + Res. 0330/2017 | INICIO: tras Hito H-F1</t>
  </si>
  <si>
    <t>Fuentes MO: Decreto 1469/2025 SMMLV 2026 = $1.750.905/mes | Materiales: Gobernación Risaralda 2025 + INVIAS APU 2025-2 | Normas: RETIE Res. 40119/2014 | Res. 0330/2017 RAS acueducto</t>
  </si>
  <si>
    <t>APU-F2.1</t>
  </si>
  <si>
    <t>INSTALACIÓN RED PROVISIONAL AGUA POTABLE — Con medidor propio + llave de corte | P mín. 0,4 kg/cm² | Aval empresa acueducto</t>
  </si>
  <si>
    <t>Res. 0330/2017 (RAS) | Empresas Públicas Dosquebradas | Medidor propio obligatorio</t>
  </si>
  <si>
    <t>MAT</t>
  </si>
  <si>
    <t>MATERIALES</t>
  </si>
  <si>
    <t>M1</t>
  </si>
  <si>
    <t>Tuberia PVC presión RDE-21 Ø1" (acometida provisional)</t>
  </si>
  <si>
    <t>M2</t>
  </si>
  <si>
    <t>Medidor de agua Ø1" (tipo chorro múltiple aprobado empresa)</t>
  </si>
  <si>
    <t>un</t>
  </si>
  <si>
    <t>Mercado Pereira-Dosquebradas 2025</t>
  </si>
  <si>
    <t>M3</t>
  </si>
  <si>
    <t>Llave de corte bola Ø1" bronce + caja contador</t>
  </si>
  <si>
    <t>M4</t>
  </si>
  <si>
    <t>Accesorios PVC (tees, uniones, codos, tapones) + sellantes</t>
  </si>
  <si>
    <t>Gob. Risaralda 2025 + ferretería regional</t>
  </si>
  <si>
    <t>MO</t>
  </si>
  <si>
    <t>O1</t>
  </si>
  <si>
    <t>Oficial fontanero (instalación acometida + medidor + prueba)</t>
  </si>
  <si>
    <t>O2</t>
  </si>
  <si>
    <t>Ayudante fontanero</t>
  </si>
  <si>
    <t>SUBTOTAL DIRECTO APU-F2.1</t>
  </si>
  <si>
    <t>COSTO TOTAL APU-F2.1 (global — 1 acometida provisional)</t>
  </si>
  <si>
    <t>APU-F2.2</t>
  </si>
  <si>
    <t>CONEXIÓN PROVISIONAL ELÉCTRICA — Tablero provisional 1 interruptor + circuitos ilum. + tomas | RETIE provisional</t>
  </si>
  <si>
    <t>RETIE Res. 40119/2014 | Aval empresa de energía Dosquebradas | Tablero con protecciones diferenciales</t>
  </si>
  <si>
    <t>Tablero bifasico 4 circuitos 60A con breaker principal + diferenciales 30 mA</t>
  </si>
  <si>
    <t>Cable THW calibre 10 AWG (alimentación tablero + circuitos)</t>
  </si>
  <si>
    <t>Conduit PVC 3/4" (protección cableado provisional obra)</t>
  </si>
  <si>
    <t>Tomas industriales 20A + luminarias LED 50W + ext. provisionales</t>
  </si>
  <si>
    <t>Electricista oficial RETIE (instalación tablero + cableado + prueba)</t>
  </si>
  <si>
    <t>Escala electricista RETIE Eje Cafetero 2025</t>
  </si>
  <si>
    <t>Ayudante electricista</t>
  </si>
  <si>
    <t>Decreto 1469/2025</t>
  </si>
  <si>
    <t>SUBTOTAL DIRECTO APU-F2.2</t>
  </si>
  <si>
    <t>COSTO TOTAL APU-F2.2 (global — 1 tablero provisional)</t>
  </si>
  <si>
    <t>APU-F2.3</t>
  </si>
  <si>
    <t>BAJANTE PROVISIONAL AGUAS LLUVIAS + MANEJO AGUAS SUPERFICIALES — Impedir encharcamiento en pozos pilotes</t>
  </si>
  <si>
    <t>Drenajes → alcantarillado provisional | Canaletas perimetrales | Sumi. trampas de sedimentos</t>
  </si>
  <si>
    <t>Tuberia PVC sanitaria Ö6" para bajante provisional aguas lluvias (L≈12 m)</t>
  </si>
  <si>
    <t>Canaleta prefabricada en concreto 30×20 cm (perimetral lote, L≈30 m)</t>
  </si>
  <si>
    <t>INVIAS APU 2025-2 — Región Centro-Occidente</t>
  </si>
  <si>
    <t>Trampa de sedimentos (zarzo metálico + geotextil) en salida descole</t>
  </si>
  <si>
    <t>Plan Manejo Ambiental Decreto 1076/2015</t>
  </si>
  <si>
    <t>Oficial (instalación drenajes + canaletas + prueba)</t>
  </si>
  <si>
    <t>SUBTOTAL DIRECTO APU-F2.3</t>
  </si>
  <si>
    <t>COSTO TOTAL APU-F2.3 (global)</t>
  </si>
  <si>
    <t>TABLA RESUMEN FASE 2</t>
  </si>
  <si>
    <t>CANTIDAD</t>
  </si>
  <si>
    <t>COSTO APU ($)</t>
  </si>
  <si>
    <t>Red provisional agua potable (acometida + medidor)</t>
  </si>
  <si>
    <t>Conexión provisional eléctrica (tablero + cableado)</t>
  </si>
  <si>
    <t>Bajante provisional aguas lluvias + drenajes perimetrales</t>
  </si>
  <si>
    <t>TOTAL FASE 2</t>
  </si>
  <si>
    <t>ANÁLISIS DE PRECIOS UNITARIOS — FASE 3: CIMENTACIÓN — PILOTES + VIGAS CORRIDAS + PLACA CONTRAPISO</t>
  </si>
  <si>
    <t>Proyecto: Torre Santa Isabel | CVA Constructora SAS | Dosquebradas, Risaralda | NSR-10 C.18 | 147 pilotes Ø40 cm L=8,5 m | f’c: Pilotes=28 MPa | Vigas=24,5 MPa | Contrapiso=21 MPa</t>
  </si>
  <si>
    <t>Fuentes: SMMLV 2026 Decreto 1469/2025 = $1.750.905 | Concreto: cotización plantas Pereira-Dosquebradas 2025 | Acero: GERDAU/DIACO Eje Cafetero 2025 | Formaleta: FORSA + cotización regional | INVIAS APU 2025-2 Región Centro-Occidente</t>
  </si>
  <si>
    <t>APU-F3.A</t>
  </si>
  <si>
    <t>PILOTE FUNDIDO IN SITU Ø40 cm L=8,5 m — Concreto f’c=28 MPa — Jaula refuerzo — incluye perforación</t>
  </si>
  <si>
    <t>NSR-10 C.18 | 4 cilindros/día vaciado | TRÉMIE hasta fondo | Recubrimiento 7 cm | Registro por pilote</t>
  </si>
  <si>
    <t>1. MAT</t>
  </si>
  <si>
    <t>Planta concreto Pereira-Dosquebradas 2025 | 28 MPa = aprox. 3500 PSI + pump</t>
  </si>
  <si>
    <t>Acero corrugado Ô12.7 mm (#4) fy=420 MPa — barras longitudinales jaula (GERDAU/DIACO)</t>
  </si>
  <si>
    <t>GERDAU/DIACO Eje Cafetero Ene-2026</t>
  </si>
  <si>
    <t>Acero espiral Ô9.5 mm (#3) — helicoidal cada 15 cm (NSR-10 C.18)</t>
  </si>
  <si>
    <t>Separadores plásticos Ø40 cm (recubrimiento 7 cm cara suelo — NSR-10 C.18)</t>
  </si>
  <si>
    <t>Proveedor separadores Pereira 2025</t>
  </si>
  <si>
    <t>M5</t>
  </si>
  <si>
    <t>Curador químico acrílico (sellado cabeza pilote — NSR-10)</t>
  </si>
  <si>
    <t>SIKA / BASF Eje Cafetero 2025</t>
  </si>
  <si>
    <t>2. MO</t>
  </si>
  <si>
    <t>MANO DE OBRA Y EQUIPO ESPECIALIZADO</t>
  </si>
  <si>
    <t>Equipo perforación rotatorio Ø40 cm incl. operador (cargo práticamente en F1.4 — prorata vaciado)</t>
  </si>
  <si>
    <t>Oficiales fierreros (habilitado + armado jaula)</t>
  </si>
  <si>
    <t>O3</t>
  </si>
  <si>
    <t>Oficial concretero (vaciado trémie + control T° concreto)</t>
  </si>
  <si>
    <t>O4</t>
  </si>
  <si>
    <t>Ayudante pilotero (2 por equipo perforación)</t>
  </si>
  <si>
    <t>O5</t>
  </si>
  <si>
    <t>Bomba concreto (alquiler — prorata por m³ vaciado)</t>
  </si>
  <si>
    <t>Equipos bombeo concreto Pereira 2025</t>
  </si>
  <si>
    <t>SUBTOTAL DIRECTO APU-F3.A</t>
  </si>
  <si>
    <t>COSTO TOTAL UNITARIO APU-F3.A (por ml pilote Ø40 cm f’c=28 MPa)</t>
  </si>
  <si>
    <t>APU-F3.B</t>
  </si>
  <si>
    <t>VIGAS DE ARRIOSTRAMIENTO (CORRIDAS) f’c=24,5 MPa — Acero fy=420 MPa — NSR-10 C.12</t>
  </si>
  <si>
    <t>★ f’c=24,5 MPa (NO 28 MPa) | Recubrimiento 4 cm cara suelo, 3 cm caras internas | Traslapes ≥40Ø</t>
  </si>
  <si>
    <t>Concreto premezclado f’c=24,5 MPa (177 kg/cm²) bombeado — aditivo reoplastificante | T≤35°C</t>
  </si>
  <si>
    <t>Planta concreto Pereira-Dosquebradas 2025 | 24,5 MPa = aprox. 3000 PSI + plast.</t>
  </si>
  <si>
    <t>Acero corrugado Ô12,7 mm (#4) fy=420 MPa barras longitudinales + estribos (GERDAU/DIACO)</t>
  </si>
  <si>
    <t>Formaleta metálica lateral vigas (alquiler FORSA — prorata por m³)</t>
  </si>
  <si>
    <t>FORSA Colombia — tarifa alquiler diario 2025</t>
  </si>
  <si>
    <t>Separadores plásticos recubrimiento 4 cm (cara suelo) + 3 cm (laterales)</t>
  </si>
  <si>
    <t>Curador químico acrílico (post-vaciado inmediato)</t>
  </si>
  <si>
    <t>MANO DE OBRA Y EQUIPO</t>
  </si>
  <si>
    <t>Oficial fierrero (habilitado + armado refuerzo vigas, traslapes, estribos)</t>
  </si>
  <si>
    <t>Ayudante fierrero (2 por oficial)</t>
  </si>
  <si>
    <t>Oficial carpintero formaleta (instalación + retiro lateral vigas)</t>
  </si>
  <si>
    <t>Oficial concretero (vaciado + vibrado sistemático c/30 cm + nivelación)</t>
  </si>
  <si>
    <t>Bomba concreto (alquiler prorata — vaciado vigas)</t>
  </si>
  <si>
    <t>O6</t>
  </si>
  <si>
    <t>Vibrador de concreto Ñ1,5" (alquiler diario) + operación</t>
  </si>
  <si>
    <t>Mercado Pereira 2025</t>
  </si>
  <si>
    <t>SUBTOTAL DIRECTO APU-F3.B</t>
  </si>
  <si>
    <t>COSTO TOTAL UNITARIO APU-F3.B (por m³ — vigas arriostramiento f’c=24,5 MPa)</t>
  </si>
  <si>
    <t>APU-F3.C</t>
  </si>
  <si>
    <t>PLACA DE CONTRAPISO e=15 cm — f’c=21 MPa — Malla electrosoldada M-131 + redes embebidas | NSR-10</t>
  </si>
  <si>
    <t>★ f’c=21 MPa (NO 28 MPa) | Cama arena 10 cm | Malla M-131 fy=490 MPa | Vibrador Ñ2" | Planeidad ±3 mm</t>
  </si>
  <si>
    <t>Concreto premezclado f’c=21 MPa (210 kg/cm² ≈ 3000 PSI) bombeado | T≤35°C</t>
  </si>
  <si>
    <t>Planta concreto Pereira-Dosquebradas 2025 | 21 MPa = 3000 PSI</t>
  </si>
  <si>
    <t>Malla electrosoldada M-131 (150×150 mm ø 5 mm) fy=490 MPa — NSR-10 C.13</t>
  </si>
  <si>
    <t>GERDAU/DIACO Colombia Ene-2026</t>
  </si>
  <si>
    <t>Arena de río lavada (cama 10 cm) — compactada al 95% proctor</t>
  </si>
  <si>
    <t>Gob. Risaralda 2025 — materéal de arrastre Dosquebradas</t>
  </si>
  <si>
    <t>Curador químico acrílico + plástico protección 7 días</t>
  </si>
  <si>
    <t>SIKA / BASF 2025</t>
  </si>
  <si>
    <t>Geomembrana PVC 1 mm (impermeabilización bajo placa) — traslapes 30 cm</t>
  </si>
  <si>
    <t>Imper. Eje Cafetero 2025 — F3.17</t>
  </si>
  <si>
    <t>Oficial de construcción (colocación malla + redes + nivelación)</t>
  </si>
  <si>
    <t>Ayudante (2 por oficial)</t>
  </si>
  <si>
    <t>Oficial concretero (vaciado + vibrado + platacho nivel láser ±3 mm)</t>
  </si>
  <si>
    <t>Bomba concreto (alquiler prorata — vaciado placa)</t>
  </si>
  <si>
    <t>Equipos bombeo Pereira 2025</t>
  </si>
  <si>
    <t>Vibrador sumergible Ñ2" + compactador plancha (arena cama)</t>
  </si>
  <si>
    <t>SUBTOTAL DIRECTO APU-F3.C</t>
  </si>
  <si>
    <t>COSTO TOTAL UNITARIO APU-F3.C (por m² — placa contrapiso e=15 cm f’c=21 MPa)</t>
  </si>
  <si>
    <t>APU-F3.D</t>
  </si>
  <si>
    <t>DESCABECE DE PILOTES A COTA DE ARRANQUE DE VIGAS — 5-10 cm concreto contaminado — por pilote</t>
  </si>
  <si>
    <t>NSR-10 C.18 | Exposición refuerzo limpio para traslape | Cota exacta diseño | Registro por pilote</t>
  </si>
  <si>
    <t>Oficial de construcción (operación compresor + jackhammer)</t>
  </si>
  <si>
    <t>Ayudante (2 por pilote)</t>
  </si>
  <si>
    <t>EQ1</t>
  </si>
  <si>
    <t>Compresor + martillo neumático (jackhammer) — alquiler diario prorata</t>
  </si>
  <si>
    <t>Cotización alquiler equipos Pereira 2025</t>
  </si>
  <si>
    <t>SUBTOTAL DIRECTO APU-F3.D</t>
  </si>
  <si>
    <t>COSTO TOTAL APU-F3.D (por pilote descabezado)</t>
  </si>
  <si>
    <t>TABLA RESUMEN FASE 3</t>
  </si>
  <si>
    <t>Pilotes in situ Ø40 cm f’c=28 MPa (147 pilotes × 8,5 ml c/u)</t>
  </si>
  <si>
    <t>Vigas arriostramiento f’c=24,5 MPa (vol. estimado 85 m³)</t>
  </si>
  <si>
    <t>Placa contrapiso e=15 cm f’c=21 MPa + malla M-131 + geomembrana (1.900 m²)</t>
  </si>
  <si>
    <t>Descabece pilotes (147 unidades)</t>
  </si>
  <si>
    <t>TOTAL FASE 3</t>
  </si>
  <si>
    <t>Proyecto: Edificio VIS+NO VIS 12 pisos 89 Apts | Dosquebradas, Risaralda | NSR-10 | BIM IFC Vinculado</t>
  </si>
  <si>
    <t>FUENTES OFICIALES: Decreto 1469/2025 SMMLV 2026 ($1.750.905) | Gobernación Risaralda Precios Unitarios 2025 | INVIAS APU 2025-2 Región Centro-Occidente | NSR-10 | RETIE | Res. 0330/2017 RAS | GERDAU/DIACO Eje Cafetero Ene-2026</t>
  </si>
  <si>
    <t>CÓD. APU</t>
  </si>
  <si>
    <t>DESCRIPCIÓN</t>
  </si>
  <si>
    <t>% FASE</t>
  </si>
  <si>
    <t>FASE 1</t>
  </si>
  <si>
    <t>DESCAPOTE, EXCAVACIÓN Y PREPARACIÓN DEL TERRENO</t>
  </si>
  <si>
    <t>Excavación general a cotas de diseño (suelo arcilloso)</t>
  </si>
  <si>
    <t>Excavación puntual pozos pilotes Ø40 cm (147 pil. × 12 m)</t>
  </si>
  <si>
    <t>FASE 2</t>
  </si>
  <si>
    <t>REDES PROVISIONALES HIDROSANITARIAS Y ELÉCTRICAS</t>
  </si>
  <si>
    <t>Red provisional agua potable (acometida + medidor propio)</t>
  </si>
  <si>
    <t>Conexión provisional eléctrica (tablero + cableado + RETIE)</t>
  </si>
  <si>
    <t>Bajante provisional aguas lluvias + canaletas + trampas sedimentos</t>
  </si>
  <si>
    <t>FASE 3</t>
  </si>
  <si>
    <t>CIMENTACIÓN: PILOTES + VIGAS CORRIDAS + PLACA CONTRAPISO</t>
  </si>
  <si>
    <t>Pilote in situ Ø40 cm f’c=28 MPa (147 pil. × 8,5 ml)</t>
  </si>
  <si>
    <t>Vigas arriostramiento f’c=24,5 MPa (85 m³)</t>
  </si>
  <si>
    <t>Descabece pilotes a cota arranque vigas (147 un.)</t>
  </si>
  <si>
    <t>REFERENCIA CELDA TOTAL (para % col. G):</t>
  </si>
  <si>
    <t>NOTA: columna G calcula % con referencia a F40 (que es =F26)</t>
  </si>
  <si>
    <t>NOTAS Y ADVERTENCIAS TÉCNICAS</t>
  </si>
  <si>
    <t>★ RESISTENCIAS REQUERIDAS NSR-10: Pilotes y columnas = 28 MPa (4.000 PSI) | Vigas = 24,5 MPa (3.500 PSI) | Muros+losas+contrapiso = 21 MPa (3.000 PSI)</t>
  </si>
  <si>
    <t>▶ PRECIOS MATERIALES: Sujetos a variación mensual. Actualizar cotizaciones con planta concreto y ferreteras antes de licitar.</t>
  </si>
  <si>
    <t>▶ MANO DE OBRA: Basada en SMMLV 2026 = $1.750.905/mes (jornal $58.363/día) + prestaciones 52%. Fuente: Decreto 1469/2025 + Decreto transitorio 0159/2026.</t>
  </si>
  <si>
    <t>▶ AIU APLICADO: 23% (Admin 10% + Imprevistos 5% + Utilidad 8%). Ajustar según tipo de contratación (pública/privada) y CAMACOL regional.</t>
  </si>
  <si>
    <t>▶ NO INCLUYE: Ensayos laboratorio (PDA/CSL pilotes, cilindros concreto, Proctor), honorarios interventoría, pólizas de seguro, impuestos de obra.</t>
  </si>
  <si>
    <t>▶ FUENTES PRIMARIAS COLOMBIA: INVIAS APU 2025-2 (periodo 30-dic-2025) | Gobernación Risaralda Precios Unitarios 2025 | GERDAU/DIACO Colombia Ene-2026 | CAMACOL Eje Cafetero 2025.</t>
  </si>
  <si>
    <t>▶ NORMATIVA APLICABLE: NSR-10 (C.18 cimentaciones, C.12 vigas, C.14 muros) | Decreto 1076/2015 (ambiental) | RETIE (eléctrico) | Res. 0330/2017 RAS (hidrosanitario) | Decreto 1082/2015 (contratación estatal).</t>
  </si>
  <si>
    <t>Concreto premezclado f’c=28 MPa (280 kg/cm²) — bombeado con aditivo reductor agua | T≤35°C</t>
  </si>
  <si>
    <t>mes</t>
  </si>
  <si>
    <t>ANÁLISIS DE PRECIOS UNITARIOS — FASE 0: PREOBRA Y GESTIÓN INICIAL</t>
  </si>
  <si>
    <t>Fuentes MO: Decreto 1469/2025 SMMLV 2026 = $1.750.905/mes → jornal oficial = $58.363/día | Honorarios: escala COPNIA/CAMACOL Eje Cafetero 2025 | Materiales: Gob. Risaralda 2025 + INVIAS APU 2025-2</t>
  </si>
  <si>
    <t>APU-F0.11a</t>
  </si>
  <si>
    <t>Valla inform. proyecto 1,2×2,4 m (impresión lona + estructura — exigida curador urbano Dosquebradas)</t>
  </si>
  <si>
    <t>SUBTOTAL DIRECTO (Mat. + MO + Equipo)</t>
  </si>
  <si>
    <t>COSTO TOTAL UNITARIO APU-F0.11a (por ml cerramiento)</t>
  </si>
  <si>
    <t>APU-F0.11b</t>
  </si>
  <si>
    <t>Desmontable al finalizar obra | Incluye: eléctrico provisional (tomacorrientes, lámparas), mesones, estantes almacén</t>
  </si>
  <si>
    <t>Instalación eléctrica provisional (tablero 4 ctos, cable 2×12, tomacorrientes, lámparas LED)</t>
  </si>
  <si>
    <t>Mobiliario básico (mesa escritorio 1,20 m, sillas ×4, estantes metálicos almacén ×2)</t>
  </si>
  <si>
    <t>Oficial (armado estructura metálica + cubierta) — 4 jornales</t>
  </si>
  <si>
    <t>Ayudante (apoyo armado + tabla burda) — 5 jornales</t>
  </si>
  <si>
    <t>Electricista (instalación red provisional) — 1 jornal</t>
  </si>
  <si>
    <t>Herramienta menor (pulidora, taladro, llaves, sierra) — 3% MO</t>
  </si>
  <si>
    <t>COSTO TOTAL APU-F0.11b (global campamento 40 m²)</t>
  </si>
  <si>
    <t>APU-F0.11c</t>
  </si>
  <si>
    <t>BAÑOS PORTÁTILES — Alquiler 2 unidades durante fase preobra (2 meses) — incluye servicio de limpieza semanal</t>
  </si>
  <si>
    <t>Requerimiento mínimo: 1 baño por cada 20 trabajadores (GTC 45 / Decreto 1072/2015) | 2 meses preobra</t>
  </si>
  <si>
    <t>EQUIPOS / SERVICIO</t>
  </si>
  <si>
    <t>Alquiler baño portátil químico estándar (precio mes/unidad, proveedor local Dosquebradas)</t>
  </si>
  <si>
    <t>mes·un</t>
  </si>
  <si>
    <t>Mantenimiento y limpieza semanal (incluido en contrato alquiler — verificar en cotización)</t>
  </si>
  <si>
    <t>COSTO TOTAL APU-F0.11c (2 baños × 2 meses)</t>
  </si>
  <si>
    <t>APU-F0.14</t>
  </si>
  <si>
    <t>SEÑALIZACIÓN VIAL TEMPORAL + PASO PEATONAL PROVISIONAL + PMU VECINOS — Acuerdo 03/2019 Dosquebradas</t>
  </si>
  <si>
    <t>Exigido por curador urbano Dosquebradas | Incluye notificación vecinos, acta inicio, registro fotográfico</t>
  </si>
  <si>
    <t>Conos viales reflectivos 75 cm (10 un × arrendamiento 2 meses — alquiler empresas locales)</t>
  </si>
  <si>
    <t>Señales preventivas obra (PELIGRO / PROHIBIDO EL PASO / ENTRADA VEHÍCULOS) — norma INVIAS Manual Señalización 2022</t>
  </si>
  <si>
    <t>Malla polisombra paso peatonal provisional (ml × 30 ml = protector encima acera)</t>
  </si>
  <si>
    <t>Cinta de peligro + estacas delimitación (rollo 500 m)</t>
  </si>
  <si>
    <t>rl</t>
  </si>
  <si>
    <t>Oficial (instalación señalización + paso peatonal + notificación vecinos) — 2 jornales</t>
  </si>
  <si>
    <t>Gestor comunitario/SISO (PMU, acta reunión vecinos, registro fotográfico) — 1 jornal</t>
  </si>
  <si>
    <t>COSTO TOTAL APU-F0.14 (global señalización + PMU)</t>
  </si>
  <si>
    <t>TABLA RESUMEN FASE 0 — PREOBRA Y GESTIÓN INICIAL</t>
  </si>
  <si>
    <t>Cerramiento perimetral lona verde h=2,0 m (poste galv. + lona + valla)</t>
  </si>
  <si>
    <t>Baños portátiles ×2 unid. × 2 meses (alquiler + limpieza semanal incluida)</t>
  </si>
  <si>
    <t>Señalización vial + paso peatonal + PMU vecinos (Acuerdo 03/2019 Dosquebradas)</t>
  </si>
  <si>
    <t>APU-F0.1</t>
  </si>
  <si>
    <t>Trámites legales: LU + cuenta bancaria patrimonial + servicios públicos provisional + PMA/SISO</t>
  </si>
  <si>
    <t>APU-F0.4-7</t>
  </si>
  <si>
    <t>Honorarios profesionales: Superv. Técnico + Ing. Estructural + Especialistas + Est. Geotécnico + Director obra</t>
  </si>
  <si>
    <t>APU-F0.12-13</t>
  </si>
  <si>
    <t>Topografía: levantamiento planialtimétrico + replanteo cuadrícula 147 pilotes (tol. ±25mm NSR-10 C.18)</t>
  </si>
  <si>
    <t>APU-F0.10</t>
  </si>
  <si>
    <t>Contratación gerencial: Gerente + Residente + Inspector SISO (2 meses preobra)</t>
  </si>
  <si>
    <t>COSTO DIRECTO TOTAL FASE 0</t>
  </si>
  <si>
    <t>AIU 23% (Admin. 10% + Imprevistos 5% + Utilidad 8%)</t>
  </si>
  <si>
    <t>COSTO TOTAL FASE 0 — PREOBRA Y GESTIÓN INICIAL (incl. AIU)</t>
  </si>
  <si>
    <t>RESUMEN CONSOLIDADO APU — FASES 0, 1, 2 Y 3 | TORRE SANTA ISABEL | CVA CONSTRUCTORA SAS</t>
  </si>
  <si>
    <t>FASE 0</t>
  </si>
  <si>
    <t>PREOBRA Y GESTIÓN INICIAL</t>
  </si>
  <si>
    <t>APU-F0</t>
  </si>
  <si>
    <t>Cerramiento + campamento + baños port. + señalización + trámites + honorarios + topografía + coordinación</t>
  </si>
  <si>
    <t>TOTAL FASE 0</t>
  </si>
  <si>
    <t>GRAN TOTAL FASES 0+1+2+3 (sin laboratorio ni interventoría)</t>
  </si>
  <si>
    <t>"100,0%"</t>
  </si>
  <si>
    <t>Actualizando resumen</t>
  </si>
  <si>
    <t>precio canaima</t>
  </si>
  <si>
    <t>precio sr del frente</t>
  </si>
  <si>
    <t>lb</t>
  </si>
  <si>
    <t>CERRAMIENTO PERIMETRAL GUADUA + POLISOMBRA VERDE h=2,0 m — Postes guadua cepa c/2,5 m, polisombra verde 2,10 m ancho, valla informativa proyecto</t>
  </si>
  <si>
    <t>Ref. Gob. Risaralda 2025 | Perímetro obra: 250 ml | Desmontable y reutilizable | Polisombra como pantalla visual y de seguridad</t>
  </si>
  <si>
    <t>Guadua cepa rolliza Ø10–12 cm h=2,5 m (poste c/2,5 m → 0,4 postes/ml)</t>
  </si>
  <si>
    <t>Polisombra verde rollo 2,10 m × 100 m (250 ml cerramiento ÷ 100 m/rollo = 2,5 rollos obra → 0,010 rollos/ml)</t>
  </si>
  <si>
    <t>rollo</t>
  </si>
  <si>
    <t>Alambre negro cal.18 (amarre polisombra a guadua — aprox. 0,15 kg/ml)</t>
  </si>
  <si>
    <t>Puntillas 2" (fijación polisombra a guadua)</t>
  </si>
  <si>
    <t>Oficial (hinca postes guadua + tensado + fijación polisombra) — rend. 12 ml/jor</t>
  </si>
  <si>
    <t>Ayudante (pasa materiales, aploma guaduas, sujeta polisombra) — rend. 12 ml/jor</t>
  </si>
  <si>
    <t>Herramienta menor (barretón, maceta, serrucho guadua, plomada, tensor) — 3% MO</t>
  </si>
  <si>
    <t xml:space="preserve">Instalacion de valla </t>
  </si>
  <si>
    <t>CAMPAMENTO DE OBRA — Oficina + bodega materiales (estructura guadua cepa 40 m², piso en esterilla de guadua, cubierta y cerramiento en plástico calibre 6)</t>
  </si>
  <si>
    <t>Guadua cepa rolliza Ø10–12 cm (columnas + vigas + correas estructura principal) — aprox. 60 und</t>
  </si>
  <si>
    <t>und</t>
  </si>
  <si>
    <t>Esterilla de guadua (piso campamento 40 m² + entrepisos bodega — e=1 cm, ancho 1,20 m)</t>
  </si>
  <si>
    <t>Plástico negro cal.6 cubierta y cerramiento (40 m² cubierta × 1,15 traslape + 65 m² paredes = aprox. 110 m²)</t>
  </si>
  <si>
    <t>Alambre negro cal.18 y cabuya de fique (amarre guadua cepa — aprox. 8 kg)</t>
  </si>
  <si>
    <t>Campamento de obra — 40 m² (estructura guadua cepa, piso esterilla, cubierta/pared plástico cal.6, eléctrico provisional, mobiliario)</t>
  </si>
  <si>
    <t>Cerramiento perimetral guadua cepa + polisombra verde h=2,0 m</t>
  </si>
  <si>
    <t>Valla informativa proyecto 1,2×2,4 m (lona + estructura — curador Dosquebradas)</t>
  </si>
  <si>
    <t>Campamento de obra 40 m² (guadua cepa, esterilla, plástico cal.6, eléctrico prov., mobiliario)</t>
  </si>
  <si>
    <t>Baños portátiles ×2 unid. × 2 meses (alquiler + limpieza semanal)</t>
  </si>
  <si>
    <t>Trámites legales: LU + cuenta bancaria patrimonial + servicios públicos prov. + PMA/SISO</t>
  </si>
  <si>
    <t>Descapote y limpieza del lote</t>
  </si>
  <si>
    <t>01.03</t>
  </si>
  <si>
    <t>01.04</t>
  </si>
  <si>
    <t>01.05</t>
  </si>
  <si>
    <t>01.06</t>
  </si>
  <si>
    <t>01.07</t>
  </si>
  <si>
    <t>01.08</t>
  </si>
  <si>
    <t>01.09</t>
  </si>
  <si>
    <t>01.10</t>
  </si>
  <si>
    <t>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</si>
</sst>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\$#,##0;[Red]\(\$#,##0\);\-"/>
    <numFmt numFmtId="165" formatCode="0.0%;[Red]\(0.0%\);\-"/>
    <numFmt numFmtId="166" formatCode="#,##0;[Red]\(#,##0\);\-"/>
    <numFmt numFmtId="167" formatCode="dd/mm/yyyy"/>
    <numFmt numFmtId="168" formatCode="0.00&quot; a&quot;"/>
    <numFmt numFmtId="169" formatCode="0.0%"/>
    <numFmt numFmtId="170" formatCode="0.0000"/>
    <numFmt numFmtId="171" formatCode="&quot;$&quot;#,##0"/>
    <numFmt numFmtId="172" formatCode="&quot;$&quot;#,##0.00"/>
    <numFmt numFmtId="173" formatCode="0.000"/>
    <numFmt numFmtId="174" formatCode="0.0"/>
    <numFmt numFmtId="175" formatCode="#,##0.0"/>
  </numFmts>
  <fonts count="109">
    <font>
      <sz val="11"/>
      <color theme="1"/>
      <name val="Calibri"/>
      <family val="2"/>
      <scheme val="minor"/>
    </font>
    <font>
      <b/>
      <sz val="24"/>
      <color rgb="FFFFFFFF"/>
      <name val="Calibri"/>
    </font>
    <font>
      <sz val="14"/>
      <color rgb="FF94A3B8"/>
      <name val="Calibri"/>
    </font>
    <font>
      <i/>
      <sz val="11"/>
      <color rgb="FF8B5CF6"/>
      <name val="Calibri"/>
    </font>
    <font>
      <b/>
      <sz val="11"/>
      <color rgb="FF1E293B"/>
      <name val="Calibri"/>
    </font>
    <font>
      <b/>
      <sz val="10"/>
      <color rgb="FF1E293B"/>
      <name val="Calibri"/>
    </font>
    <font>
      <sz val="10"/>
      <color rgb="FF0000FF"/>
      <name val="Calibri"/>
    </font>
    <font>
      <b/>
      <sz val="9"/>
      <color rgb="FF64748B"/>
      <name val="Calibri"/>
    </font>
    <font>
      <b/>
      <sz val="10"/>
      <color rgb="FF008000"/>
      <name val="Calibri"/>
    </font>
    <font>
      <i/>
      <sz val="9"/>
      <color rgb="FF64748B"/>
      <name val="Calibri"/>
    </font>
    <font>
      <b/>
      <sz val="18"/>
      <color rgb="FF1E293B"/>
      <name val="Calibri"/>
    </font>
    <font>
      <i/>
      <sz val="11"/>
      <color rgb="FF64748B"/>
      <name val="Calibri"/>
    </font>
    <font>
      <b/>
      <sz val="12"/>
      <color rgb="FFFFFFFF"/>
      <name val="Calibri"/>
    </font>
    <font>
      <sz val="10"/>
      <color rgb="FF000000"/>
      <name val="Calibri"/>
    </font>
    <font>
      <b/>
      <sz val="10"/>
      <color rgb="FF1D4ED8"/>
      <name val="Calibri"/>
    </font>
    <font>
      <i/>
      <sz val="10"/>
      <color rgb="FF64748B"/>
      <name val="Calibri"/>
    </font>
    <font>
      <sz val="10"/>
      <color rgb="FF1E293B"/>
      <name val="Calibri"/>
    </font>
    <font>
      <b/>
      <sz val="9"/>
      <color rgb="FF8B5CF6"/>
      <name val="Calibri"/>
    </font>
    <font>
      <b/>
      <sz val="12"/>
      <color rgb="FFB45309"/>
      <name val="Calibri"/>
    </font>
    <font>
      <b/>
      <sz val="10"/>
      <color rgb="FF8B5CF6"/>
      <name val="Calibri"/>
    </font>
    <font>
      <b/>
      <sz val="10"/>
      <name val="Calibri"/>
    </font>
    <font>
      <b/>
      <sz val="10"/>
      <color rgb="FFB45309"/>
      <name val="Calibri"/>
    </font>
    <font>
      <b/>
      <sz val="11"/>
      <color rgb="FF15803D"/>
      <name val="Calibri"/>
    </font>
    <font>
      <b/>
      <sz val="10"/>
      <color rgb="FF1D4ED8"/>
      <name val="Consolas"/>
    </font>
    <font>
      <sz val="10"/>
      <color rgb="FF64748B"/>
      <name val="Consolas"/>
    </font>
    <font>
      <b/>
      <sz val="11"/>
      <name val="Calibri"/>
    </font>
    <font>
      <b/>
      <sz val="11"/>
      <color rgb="FFB91C1C"/>
      <name val="Calibri"/>
    </font>
    <font>
      <b/>
      <sz val="11"/>
      <color rgb="FF6D28D9"/>
      <name val="Calibri"/>
    </font>
    <font>
      <i/>
      <sz val="10"/>
      <color rgb="FF1E293B"/>
      <name val="Calibri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4"/>
      <color rgb="FFFFFFFF"/>
      <name val="Carlito"/>
    </font>
    <font>
      <sz val="11"/>
      <name val="Carlito"/>
    </font>
    <font>
      <sz val="11"/>
      <color rgb="FFFFFFFF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11"/>
      <color rgb="FFA3A3A3"/>
      <name val="Carlito"/>
    </font>
    <font>
      <sz val="11"/>
      <color rgb="FF000000"/>
      <name val="Carlito"/>
    </font>
    <font>
      <b/>
      <sz val="11"/>
      <color rgb="FF000000"/>
      <name val="Carlito"/>
    </font>
    <font>
      <i/>
      <sz val="8"/>
      <color rgb="FF375623"/>
      <name val="Carlito"/>
    </font>
    <font>
      <i/>
      <sz val="8"/>
      <color rgb="FF7F6000"/>
      <name val="Carlito"/>
    </font>
    <font>
      <b/>
      <sz val="11"/>
      <color rgb="FF0000FF"/>
      <name val="Carlito"/>
    </font>
    <font>
      <b/>
      <sz val="11"/>
      <color rgb="FF008000"/>
      <name val="Carlito"/>
    </font>
    <font>
      <b/>
      <sz val="10"/>
      <color rgb="FF1F3864"/>
      <name val="Carlito"/>
    </font>
    <font>
      <sz val="10"/>
      <color rgb="FF595959"/>
      <name val="Carlito"/>
    </font>
    <font>
      <b/>
      <sz val="10"/>
      <color rgb="FF7F6000"/>
      <name val="Carlito"/>
    </font>
    <font>
      <sz val="10"/>
      <color rgb="FF1F3864"/>
      <name val="Carlito"/>
    </font>
    <font>
      <sz val="10"/>
      <color rgb="FF375623"/>
      <name val="Carlito"/>
    </font>
    <font>
      <b/>
      <sz val="10"/>
      <color rgb="FFBF8F00"/>
      <name val="Carlito"/>
    </font>
    <font>
      <b/>
      <sz val="11"/>
      <color rgb="FFC00000"/>
      <name val="Carlito"/>
    </font>
    <font>
      <b/>
      <sz val="10"/>
      <color rgb="FFFFFFFF"/>
      <name val="Carlito"/>
    </font>
    <font>
      <b/>
      <sz val="11"/>
      <color rgb="FF5B5B5B"/>
      <name val="Carlito"/>
    </font>
    <font>
      <b/>
      <i/>
      <sz val="11"/>
      <color rgb="FF7F6000"/>
      <name val="Carlito"/>
    </font>
    <font>
      <b/>
      <i/>
      <sz val="10"/>
      <color rgb="FF7F6000"/>
      <name val="Carlito"/>
    </font>
    <font>
      <sz val="10"/>
      <color rgb="FF7F6000"/>
      <name val="Carlito"/>
    </font>
    <font>
      <sz val="11"/>
      <color rgb="FF7F6000"/>
      <name val="Carlito"/>
    </font>
    <font>
      <b/>
      <sz val="11"/>
      <color rgb="FF7F6000"/>
      <name val="Carlito"/>
    </font>
    <font>
      <b/>
      <sz val="12"/>
      <color rgb="FFFFFF00"/>
      <name val="Carlito"/>
    </font>
    <font>
      <b/>
      <sz val="13"/>
      <color rgb="FFFFFFFF"/>
      <name val="Calibri"/>
      <family val="2"/>
      <scheme val="minor"/>
    </font>
    <font>
      <sz val="9"/>
      <color rgb="FF1F3864"/>
      <name val="Calibri"/>
      <family val="2"/>
      <scheme val="minor"/>
    </font>
    <font>
      <sz val="8"/>
      <color rgb="FF555555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rgb="FFFFFFFF"/>
      <name val="Calibri"/>
      <family val="2"/>
      <scheme val="minor"/>
    </font>
    <font>
      <b/>
      <sz val="11"/>
      <color rgb="FF1A1A1A"/>
      <name val="Calibri"/>
      <family val="2"/>
      <scheme val="minor"/>
    </font>
    <font>
      <sz val="11"/>
      <color rgb="FF0000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1A5276"/>
      <name val="Calibri"/>
      <family val="2"/>
      <scheme val="minor"/>
    </font>
    <font>
      <b/>
      <sz val="11"/>
      <color rgb="FF922B21"/>
      <name val="Calibri"/>
      <family val="2"/>
      <scheme val="minor"/>
    </font>
    <font>
      <sz val="11"/>
      <color rgb="FF88888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9"/>
      <color rgb="FF0B3D0B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rgb="FFCCCCFF"/>
      <name val="Calibri"/>
      <family val="2"/>
      <scheme val="minor"/>
    </font>
    <font>
      <sz val="8"/>
      <color rgb="FFAAAADD"/>
      <name val="Calibri"/>
      <family val="2"/>
      <scheme val="minor"/>
    </font>
    <font>
      <b/>
      <sz val="11"/>
      <color rgb="FF154360"/>
      <name val="Calibri"/>
      <family val="2"/>
      <scheme val="minor"/>
    </font>
    <font>
      <b/>
      <sz val="11"/>
      <color rgb="FF0B3D0B"/>
      <name val="Calibri"/>
      <family val="2"/>
      <scheme val="minor"/>
    </font>
    <font>
      <b/>
      <sz val="13"/>
      <color rgb="FFFFD700"/>
      <name val="Calibri"/>
      <family val="2"/>
      <scheme val="minor"/>
    </font>
    <font>
      <sz val="8"/>
      <color rgb="FF888888"/>
      <name val="Calibri"/>
      <family val="2"/>
      <scheme val="minor"/>
    </font>
    <font>
      <b/>
      <sz val="9"/>
      <color rgb="FFC0392B"/>
      <name val="Calibri"/>
      <family val="2"/>
      <scheme val="minor"/>
    </font>
    <font>
      <sz val="8"/>
      <color rgb="FFC0392B"/>
      <name val="Calibri"/>
      <family val="2"/>
      <scheme val="minor"/>
    </font>
    <font>
      <sz val="8"/>
      <color rgb="FF1A5276"/>
      <name val="Calibri"/>
      <family val="2"/>
      <scheme val="minor"/>
    </font>
    <font>
      <sz val="10"/>
      <color rgb="FF1E293B"/>
      <name val="Calibri"/>
      <family val="2"/>
      <scheme val="minor"/>
    </font>
    <font>
      <b/>
      <sz val="10"/>
      <color rgb="FF1E293B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rgb="FF1D4ED8"/>
      <name val="Calibri"/>
      <family val="2"/>
      <scheme val="minor"/>
    </font>
    <font>
      <b/>
      <sz val="10"/>
      <color rgb="FFB45309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15803D"/>
      <name val="Calibri"/>
      <family val="2"/>
      <scheme val="minor"/>
    </font>
    <font>
      <sz val="8"/>
      <color rgb="FF64748B"/>
      <name val="Calibri"/>
      <family val="2"/>
      <scheme val="minor"/>
    </font>
    <font>
      <b/>
      <sz val="14"/>
      <color rgb="FF1E293B"/>
      <name val="Calibri"/>
      <family val="2"/>
      <scheme val="minor"/>
    </font>
    <font>
      <sz val="10"/>
      <color rgb="FF64748B"/>
      <name val="Calibri"/>
      <family val="2"/>
      <scheme val="minor"/>
    </font>
    <font>
      <i/>
      <sz val="10"/>
      <color rgb="FF64748B"/>
      <name val="Calibri"/>
      <family val="2"/>
      <scheme val="minor"/>
    </font>
    <font>
      <sz val="9"/>
      <color rgb="FF475569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C0392B"/>
      <name val="Calibri"/>
      <family val="2"/>
      <scheme val="minor"/>
    </font>
    <font>
      <b/>
      <sz val="10"/>
      <color rgb="FFC0392B"/>
      <name val="Calibri"/>
      <family val="2"/>
      <scheme val="minor"/>
    </font>
    <font>
      <b/>
      <sz val="12"/>
      <color rgb="FF1E293B"/>
      <name val="Calibri"/>
      <family val="2"/>
      <scheme val="minor"/>
    </font>
    <font>
      <b/>
      <sz val="12"/>
      <color rgb="FF15803D"/>
      <name val="Calibri"/>
      <family val="2"/>
      <scheme val="minor"/>
    </font>
    <font>
      <sz val="10"/>
      <color rgb="FF008000"/>
      <name val="Calibri"/>
      <family val="2"/>
      <scheme val="minor"/>
    </font>
    <font>
      <sz val="7"/>
      <color rgb="FF121212"/>
      <name val="Segoe UI"/>
      <family val="2"/>
    </font>
    <font>
      <sz val="10"/>
      <color rgb="FF0000FF"/>
      <name val="Calibri"/>
      <family val="2"/>
    </font>
    <font>
      <sz val="10"/>
      <color rgb="FF15803D"/>
      <name val="Calibri"/>
      <family val="2"/>
    </font>
    <font>
      <b/>
      <sz val="10"/>
      <color rgb="FF1E293B"/>
      <name val="Calibri"/>
      <family val="2"/>
    </font>
    <font>
      <sz val="10"/>
      <color rgb="FF1E293B"/>
      <name val="Calibri"/>
      <family val="2"/>
    </font>
    <font>
      <sz val="10"/>
      <color rgb="FF00000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E293B"/>
      </patternFill>
    </fill>
    <fill>
      <patternFill patternType="solid">
        <fgColor rgb="FFE0E7FF"/>
      </patternFill>
    </fill>
    <fill>
      <patternFill patternType="solid">
        <fgColor rgb="FFEEEAFE"/>
      </patternFill>
    </fill>
    <fill>
      <patternFill patternType="solid">
        <fgColor rgb="FFFEF3C7"/>
      </patternFill>
    </fill>
    <fill>
      <patternFill patternType="solid">
        <fgColor rgb="FFF5F7FA"/>
      </patternFill>
    </fill>
    <fill>
      <patternFill patternType="solid">
        <fgColor rgb="FFF5F3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BDD7EE"/>
        <bgColor rgb="FFBDD7EE"/>
      </patternFill>
    </fill>
    <fill>
      <patternFill patternType="solid">
        <fgColor rgb="FF156082"/>
        <bgColor rgb="FF15608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C1F0C8"/>
        <bgColor rgb="FFC1F0C8"/>
      </patternFill>
    </fill>
    <fill>
      <patternFill patternType="solid">
        <fgColor rgb="FFD9F2D0"/>
        <bgColor rgb="FFD9F2D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EBF3FB"/>
        <bgColor rgb="FFEBF3FB"/>
      </patternFill>
    </fill>
    <fill>
      <patternFill patternType="solid">
        <fgColor rgb="FFF2F2F2"/>
        <bgColor rgb="FFF2F2F2"/>
      </patternFill>
    </fill>
    <fill>
      <patternFill patternType="solid">
        <fgColor rgb="FFE8EDF9"/>
        <bgColor rgb="FFE8EDF9"/>
      </patternFill>
    </fill>
    <fill>
      <patternFill patternType="solid">
        <fgColor rgb="FFEEF6EA"/>
        <bgColor rgb="FFEEF6EA"/>
      </patternFill>
    </fill>
    <fill>
      <patternFill patternType="solid">
        <fgColor rgb="FFD9E8F5"/>
        <bgColor rgb="FFD9E8F5"/>
      </patternFill>
    </fill>
    <fill>
      <patternFill patternType="solid">
        <fgColor rgb="FFD9E2F3"/>
        <bgColor rgb="FFD9E2F3"/>
      </patternFill>
    </fill>
    <fill>
      <patternFill patternType="solid">
        <fgColor rgb="FFF4B8B8"/>
        <bgColor rgb="FFF4B8B8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030A0"/>
        <bgColor rgb="FF7030A0"/>
      </patternFill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4D03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8F6F3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1F618D"/>
        <bgColor indexed="64"/>
      </patternFill>
    </fill>
    <fill>
      <patternFill patternType="solid">
        <fgColor rgb="FF117A65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154360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0B3D0B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1D8348"/>
        <bgColor indexed="64"/>
      </patternFill>
    </fill>
    <fill>
      <patternFill patternType="solid">
        <fgColor rgb="FF6C3483"/>
        <bgColor indexed="64"/>
      </patternFill>
    </fill>
    <fill>
      <patternFill patternType="solid">
        <fgColor rgb="FF7D6608"/>
        <bgColor indexed="64"/>
      </patternFill>
    </fill>
    <fill>
      <patternFill patternType="solid">
        <fgColor rgb="FF784212"/>
        <bgColor indexed="64"/>
      </patternFill>
    </fill>
    <fill>
      <patternFill patternType="solid">
        <fgColor rgb="FF2E2E4E"/>
        <bgColor indexed="64"/>
      </patternFill>
    </fill>
    <fill>
      <patternFill patternType="solid">
        <fgColor rgb="FF3D3D6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E293B"/>
      </bottom>
      <diagonal/>
    </border>
    <border>
      <left style="thin">
        <color rgb="FFD1DBE8"/>
      </left>
      <right style="thin">
        <color rgb="FFD1DBE8"/>
      </right>
      <top style="thin">
        <color rgb="FFD1DBE8"/>
      </top>
      <bottom style="thin">
        <color rgb="FFD1DBE8"/>
      </bottom>
      <diagonal/>
    </border>
    <border>
      <left/>
      <right/>
      <top style="medium">
        <color rgb="FF1E293B"/>
      </top>
      <bottom style="medium">
        <color rgb="FF1E293B"/>
      </bottom>
      <diagonal/>
    </border>
    <border>
      <left/>
      <right style="thin">
        <color rgb="FF2E75B6"/>
      </right>
      <top/>
      <bottom style="medium">
        <color rgb="FFFFFFFF"/>
      </bottom>
      <diagonal/>
    </border>
    <border>
      <left style="thin">
        <color rgb="FF2E75B6"/>
      </left>
      <right style="thin">
        <color rgb="FF2E75B6"/>
      </right>
      <top/>
      <bottom style="medium">
        <color rgb="FFFFFFFF"/>
      </bottom>
      <diagonal/>
    </border>
    <border>
      <left style="thin">
        <color rgb="FF2E75B6"/>
      </left>
      <right/>
      <top/>
      <bottom style="medium">
        <color rgb="FFFFFFFF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0" fontId="30" fillId="0" borderId="0"/>
  </cellStyleXfs>
  <cellXfs count="400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right" vertical="center"/>
    </xf>
    <xf numFmtId="2" fontId="8" fillId="0" borderId="0" xfId="0" applyNumberFormat="1" applyFont="1" applyAlignment="1">
      <alignment horizontal="right" vertical="center"/>
    </xf>
    <xf numFmtId="0" fontId="12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0" fontId="0" fillId="4" borderId="2" xfId="0" applyFill="1" applyBorder="1"/>
    <xf numFmtId="164" fontId="14" fillId="4" borderId="2" xfId="0" applyNumberFormat="1" applyFont="1" applyFill="1" applyBorder="1"/>
    <xf numFmtId="165" fontId="5" fillId="4" borderId="2" xfId="0" applyNumberFormat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vertical="center" indent="2"/>
    </xf>
    <xf numFmtId="0" fontId="0" fillId="0" borderId="2" xfId="0" applyBorder="1"/>
    <xf numFmtId="0" fontId="0" fillId="0" borderId="2" xfId="0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164" fontId="13" fillId="0" borderId="2" xfId="0" applyNumberFormat="1" applyFont="1" applyBorder="1" applyAlignment="1">
      <alignment horizontal="right" vertical="center"/>
    </xf>
    <xf numFmtId="165" fontId="13" fillId="0" borderId="2" xfId="0" applyNumberFormat="1" applyFont="1" applyBorder="1" applyAlignment="1">
      <alignment horizontal="right" vertical="center"/>
    </xf>
    <xf numFmtId="0" fontId="17" fillId="5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0" fillId="6" borderId="3" xfId="0" applyFill="1" applyBorder="1" applyAlignment="1">
      <alignment horizontal="left" vertical="center"/>
    </xf>
    <xf numFmtId="0" fontId="0" fillId="6" borderId="3" xfId="0" applyFill="1" applyBorder="1" applyAlignment="1">
      <alignment horizontal="right" vertical="center"/>
    </xf>
    <xf numFmtId="164" fontId="18" fillId="6" borderId="3" xfId="0" applyNumberFormat="1" applyFont="1" applyFill="1" applyBorder="1" applyAlignment="1">
      <alignment horizontal="right" vertical="center"/>
    </xf>
    <xf numFmtId="165" fontId="18" fillId="6" borderId="3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 wrapText="1"/>
    </xf>
    <xf numFmtId="0" fontId="16" fillId="0" borderId="2" xfId="0" applyFont="1" applyBorder="1"/>
    <xf numFmtId="4" fontId="6" fillId="0" borderId="2" xfId="0" applyNumberFormat="1" applyFont="1" applyBorder="1" applyAlignment="1">
      <alignment horizontal="right" vertical="center"/>
    </xf>
    <xf numFmtId="165" fontId="6" fillId="0" borderId="2" xfId="0" applyNumberFormat="1" applyFont="1" applyBorder="1" applyAlignment="1">
      <alignment horizontal="right" vertical="center"/>
    </xf>
    <xf numFmtId="0" fontId="20" fillId="7" borderId="2" xfId="0" applyFont="1" applyFill="1" applyBorder="1"/>
    <xf numFmtId="0" fontId="0" fillId="7" borderId="2" xfId="0" applyFill="1" applyBorder="1"/>
    <xf numFmtId="164" fontId="14" fillId="7" borderId="2" xfId="0" applyNumberFormat="1" applyFont="1" applyFill="1" applyBorder="1" applyAlignment="1">
      <alignment horizontal="right" vertical="center"/>
    </xf>
    <xf numFmtId="164" fontId="21" fillId="7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0" fontId="5" fillId="6" borderId="2" xfId="0" applyFont="1" applyFill="1" applyBorder="1"/>
    <xf numFmtId="0" fontId="0" fillId="6" borderId="2" xfId="0" applyFill="1" applyBorder="1"/>
    <xf numFmtId="164" fontId="22" fillId="6" borderId="2" xfId="0" applyNumberFormat="1" applyFont="1" applyFill="1" applyBorder="1" applyAlignment="1">
      <alignment horizontal="right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23" fillId="0" borderId="2" xfId="0" applyFont="1" applyBorder="1"/>
    <xf numFmtId="0" fontId="24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right" vertical="center"/>
    </xf>
    <xf numFmtId="0" fontId="25" fillId="6" borderId="3" xfId="0" applyFont="1" applyFill="1" applyBorder="1"/>
    <xf numFmtId="0" fontId="20" fillId="6" borderId="3" xfId="0" applyFont="1" applyFill="1" applyBorder="1"/>
    <xf numFmtId="0" fontId="0" fillId="6" borderId="3" xfId="0" applyFill="1" applyBorder="1"/>
    <xf numFmtId="164" fontId="26" fillId="6" borderId="3" xfId="0" applyNumberFormat="1" applyFont="1" applyFill="1" applyBorder="1" applyAlignment="1">
      <alignment horizontal="right" vertical="center"/>
    </xf>
    <xf numFmtId="0" fontId="4" fillId="6" borderId="3" xfId="0" applyFont="1" applyFill="1" applyBorder="1" applyAlignment="1">
      <alignment horizontal="right" vertical="center"/>
    </xf>
    <xf numFmtId="164" fontId="8" fillId="0" borderId="2" xfId="0" applyNumberFormat="1" applyFont="1" applyBorder="1" applyAlignment="1">
      <alignment horizontal="right" vertical="center"/>
    </xf>
    <xf numFmtId="0" fontId="9" fillId="0" borderId="2" xfId="0" applyFont="1" applyBorder="1"/>
    <xf numFmtId="0" fontId="9" fillId="6" borderId="2" xfId="0" applyFont="1" applyFill="1" applyBorder="1"/>
    <xf numFmtId="2" fontId="8" fillId="6" borderId="2" xfId="0" applyNumberFormat="1" applyFont="1" applyFill="1" applyBorder="1" applyAlignment="1">
      <alignment horizontal="right" vertical="center"/>
    </xf>
    <xf numFmtId="2" fontId="8" fillId="0" borderId="2" xfId="0" applyNumberFormat="1" applyFont="1" applyBorder="1" applyAlignment="1">
      <alignment horizontal="right" vertical="center"/>
    </xf>
    <xf numFmtId="0" fontId="27" fillId="0" borderId="1" xfId="0" applyFont="1" applyBorder="1"/>
    <xf numFmtId="0" fontId="30" fillId="0" borderId="0" xfId="1"/>
    <xf numFmtId="0" fontId="34" fillId="9" borderId="4" xfId="1" applyFont="1" applyFill="1" applyBorder="1" applyAlignment="1">
      <alignment horizontal="center"/>
    </xf>
    <xf numFmtId="0" fontId="34" fillId="9" borderId="5" xfId="1" applyFont="1" applyFill="1" applyBorder="1" applyAlignment="1">
      <alignment horizontal="center"/>
    </xf>
    <xf numFmtId="0" fontId="34" fillId="9" borderId="5" xfId="1" applyFont="1" applyFill="1" applyBorder="1"/>
    <xf numFmtId="0" fontId="35" fillId="9" borderId="5" xfId="1" applyFont="1" applyFill="1" applyBorder="1" applyAlignment="1">
      <alignment horizontal="center"/>
    </xf>
    <xf numFmtId="14" fontId="34" fillId="9" borderId="5" xfId="1" applyNumberFormat="1" applyFont="1" applyFill="1" applyBorder="1" applyAlignment="1">
      <alignment horizontal="center"/>
    </xf>
    <xf numFmtId="0" fontId="34" fillId="9" borderId="6" xfId="1" applyFont="1" applyFill="1" applyBorder="1" applyAlignment="1">
      <alignment horizontal="center"/>
    </xf>
    <xf numFmtId="0" fontId="34" fillId="9" borderId="0" xfId="1" applyFont="1" applyFill="1"/>
    <xf numFmtId="0" fontId="34" fillId="9" borderId="0" xfId="1" applyFont="1" applyFill="1" applyAlignment="1">
      <alignment horizontal="center"/>
    </xf>
    <xf numFmtId="0" fontId="36" fillId="9" borderId="0" xfId="1" applyFont="1" applyFill="1"/>
    <xf numFmtId="14" fontId="36" fillId="9" borderId="0" xfId="1" applyNumberFormat="1" applyFont="1" applyFill="1"/>
    <xf numFmtId="0" fontId="37" fillId="9" borderId="0" xfId="1" applyFont="1" applyFill="1"/>
    <xf numFmtId="0" fontId="37" fillId="11" borderId="0" xfId="1" applyFont="1" applyFill="1"/>
    <xf numFmtId="0" fontId="37" fillId="0" borderId="0" xfId="1" applyFont="1" applyAlignment="1">
      <alignment horizontal="center"/>
    </xf>
    <xf numFmtId="0" fontId="37" fillId="0" borderId="0" xfId="1" applyFont="1"/>
    <xf numFmtId="14" fontId="37" fillId="0" borderId="0" xfId="1" applyNumberFormat="1" applyFont="1"/>
    <xf numFmtId="0" fontId="37" fillId="12" borderId="0" xfId="1" applyFont="1" applyFill="1"/>
    <xf numFmtId="0" fontId="37" fillId="13" borderId="0" xfId="1" applyFont="1" applyFill="1"/>
    <xf numFmtId="0" fontId="37" fillId="14" borderId="0" xfId="1" applyFont="1" applyFill="1"/>
    <xf numFmtId="0" fontId="37" fillId="0" borderId="0" xfId="1" applyFont="1" applyAlignment="1">
      <alignment horizontal="center" vertical="center"/>
    </xf>
    <xf numFmtId="0" fontId="37" fillId="0" borderId="0" xfId="1" applyFont="1" applyAlignment="1">
      <alignment wrapText="1"/>
    </xf>
    <xf numFmtId="0" fontId="38" fillId="15" borderId="0" xfId="1" applyFont="1" applyFill="1"/>
    <xf numFmtId="0" fontId="37" fillId="15" borderId="0" xfId="1" applyFont="1" applyFill="1" applyAlignment="1">
      <alignment horizontal="center"/>
    </xf>
    <xf numFmtId="0" fontId="37" fillId="15" borderId="0" xfId="1" applyFont="1" applyFill="1"/>
    <xf numFmtId="0" fontId="34" fillId="16" borderId="0" xfId="1" applyFont="1" applyFill="1"/>
    <xf numFmtId="0" fontId="34" fillId="16" borderId="0" xfId="1" applyFont="1" applyFill="1" applyAlignment="1">
      <alignment horizontal="center"/>
    </xf>
    <xf numFmtId="0" fontId="37" fillId="11" borderId="0" xfId="1" applyFont="1" applyFill="1" applyAlignment="1">
      <alignment wrapText="1"/>
    </xf>
    <xf numFmtId="0" fontId="37" fillId="0" borderId="0" xfId="1" applyFont="1" applyAlignment="1">
      <alignment horizontal="center" wrapText="1"/>
    </xf>
    <xf numFmtId="14" fontId="37" fillId="0" borderId="0" xfId="1" applyNumberFormat="1" applyFont="1" applyAlignment="1">
      <alignment wrapText="1"/>
    </xf>
    <xf numFmtId="0" fontId="39" fillId="17" borderId="0" xfId="1" applyFont="1" applyFill="1"/>
    <xf numFmtId="0" fontId="38" fillId="18" borderId="0" xfId="1" applyFont="1" applyFill="1"/>
    <xf numFmtId="0" fontId="37" fillId="18" borderId="0" xfId="1" applyFont="1" applyFill="1" applyAlignment="1">
      <alignment horizontal="center"/>
    </xf>
    <xf numFmtId="0" fontId="37" fillId="19" borderId="0" xfId="1" applyFont="1" applyFill="1"/>
    <xf numFmtId="0" fontId="38" fillId="20" borderId="0" xfId="1" applyFont="1" applyFill="1"/>
    <xf numFmtId="0" fontId="37" fillId="21" borderId="0" xfId="1" applyFont="1" applyFill="1" applyAlignment="1">
      <alignment horizontal="center"/>
    </xf>
    <xf numFmtId="0" fontId="38" fillId="21" borderId="0" xfId="1" applyFont="1" applyFill="1"/>
    <xf numFmtId="0" fontId="40" fillId="22" borderId="0" xfId="1" applyFont="1" applyFill="1"/>
    <xf numFmtId="0" fontId="37" fillId="20" borderId="0" xfId="1" applyFont="1" applyFill="1"/>
    <xf numFmtId="14" fontId="40" fillId="22" borderId="0" xfId="1" applyNumberFormat="1" applyFont="1" applyFill="1"/>
    <xf numFmtId="0" fontId="37" fillId="18" borderId="0" xfId="1" applyFont="1" applyFill="1"/>
    <xf numFmtId="0" fontId="41" fillId="9" borderId="0" xfId="1" applyFont="1" applyFill="1"/>
    <xf numFmtId="14" fontId="39" fillId="17" borderId="0" xfId="1" applyNumberFormat="1" applyFont="1" applyFill="1"/>
    <xf numFmtId="0" fontId="42" fillId="9" borderId="0" xfId="1" applyFont="1" applyFill="1"/>
    <xf numFmtId="14" fontId="34" fillId="9" borderId="0" xfId="1" applyNumberFormat="1" applyFont="1" applyFill="1"/>
    <xf numFmtId="0" fontId="34" fillId="10" borderId="0" xfId="1" applyFont="1" applyFill="1"/>
    <xf numFmtId="0" fontId="34" fillId="10" borderId="0" xfId="1" applyFont="1" applyFill="1" applyAlignment="1">
      <alignment horizontal="center"/>
    </xf>
    <xf numFmtId="14" fontId="34" fillId="10" borderId="0" xfId="1" applyNumberFormat="1" applyFont="1" applyFill="1"/>
    <xf numFmtId="0" fontId="43" fillId="23" borderId="0" xfId="1" applyFont="1" applyFill="1" applyAlignment="1">
      <alignment vertical="center"/>
    </xf>
    <xf numFmtId="0" fontId="44" fillId="24" borderId="0" xfId="1" applyFont="1" applyFill="1" applyAlignment="1">
      <alignment horizontal="center" vertical="center"/>
    </xf>
    <xf numFmtId="0" fontId="37" fillId="18" borderId="0" xfId="1" applyFont="1" applyFill="1" applyAlignment="1">
      <alignment vertical="center"/>
    </xf>
    <xf numFmtId="0" fontId="45" fillId="22" borderId="0" xfId="1" applyFont="1" applyFill="1" applyAlignment="1">
      <alignment horizontal="center" vertical="center"/>
    </xf>
    <xf numFmtId="14" fontId="37" fillId="18" borderId="0" xfId="1" applyNumberFormat="1" applyFont="1" applyFill="1" applyAlignment="1">
      <alignment vertical="center"/>
    </xf>
    <xf numFmtId="0" fontId="46" fillId="25" borderId="0" xfId="1" applyFont="1" applyFill="1" applyAlignment="1">
      <alignment vertical="center"/>
    </xf>
    <xf numFmtId="0" fontId="47" fillId="26" borderId="0" xfId="1" applyFont="1" applyFill="1" applyAlignment="1">
      <alignment vertical="center"/>
    </xf>
    <xf numFmtId="0" fontId="48" fillId="22" borderId="0" xfId="1" applyFont="1" applyFill="1" applyAlignment="1">
      <alignment horizontal="center" vertical="center"/>
    </xf>
    <xf numFmtId="0" fontId="37" fillId="0" borderId="0" xfId="1" applyFont="1" applyAlignment="1">
      <alignment vertical="center"/>
    </xf>
    <xf numFmtId="0" fontId="43" fillId="27" borderId="0" xfId="1" applyFont="1" applyFill="1" applyAlignment="1">
      <alignment vertical="center"/>
    </xf>
    <xf numFmtId="0" fontId="37" fillId="23" borderId="0" xfId="1" applyFont="1" applyFill="1" applyAlignment="1">
      <alignment vertical="center"/>
    </xf>
    <xf numFmtId="14" fontId="37" fillId="23" borderId="0" xfId="1" applyNumberFormat="1" applyFont="1" applyFill="1" applyAlignment="1">
      <alignment vertical="center"/>
    </xf>
    <xf numFmtId="0" fontId="46" fillId="28" borderId="0" xfId="1" applyFont="1" applyFill="1" applyAlignment="1">
      <alignment vertical="center"/>
    </xf>
    <xf numFmtId="0" fontId="47" fillId="17" borderId="0" xfId="1" applyFont="1" applyFill="1" applyAlignment="1">
      <alignment vertical="center"/>
    </xf>
    <xf numFmtId="0" fontId="49" fillId="15" borderId="0" xfId="1" applyFont="1" applyFill="1"/>
    <xf numFmtId="0" fontId="49" fillId="15" borderId="0" xfId="1" applyFont="1" applyFill="1" applyAlignment="1">
      <alignment horizontal="center"/>
    </xf>
    <xf numFmtId="14" fontId="49" fillId="15" borderId="0" xfId="1" applyNumberFormat="1" applyFont="1" applyFill="1"/>
    <xf numFmtId="0" fontId="49" fillId="29" borderId="0" xfId="1" applyFont="1" applyFill="1" applyAlignment="1">
      <alignment horizontal="center"/>
    </xf>
    <xf numFmtId="0" fontId="34" fillId="9" borderId="0" xfId="1" applyFont="1" applyFill="1" applyAlignment="1">
      <alignment vertical="center"/>
    </xf>
    <xf numFmtId="0" fontId="34" fillId="9" borderId="0" xfId="1" applyFont="1" applyFill="1" applyAlignment="1">
      <alignment horizontal="center" vertical="center"/>
    </xf>
    <xf numFmtId="0" fontId="34" fillId="9" borderId="0" xfId="1" applyFont="1" applyFill="1" applyAlignment="1">
      <alignment horizontal="left" vertical="center"/>
    </xf>
    <xf numFmtId="14" fontId="34" fillId="9" borderId="0" xfId="1" applyNumberFormat="1" applyFont="1" applyFill="1" applyAlignment="1">
      <alignment vertical="center"/>
    </xf>
    <xf numFmtId="167" fontId="34" fillId="9" borderId="0" xfId="1" applyNumberFormat="1" applyFont="1" applyFill="1" applyAlignment="1">
      <alignment horizontal="center" vertical="center"/>
    </xf>
    <xf numFmtId="167" fontId="34" fillId="9" borderId="0" xfId="1" applyNumberFormat="1" applyFont="1" applyFill="1" applyAlignment="1">
      <alignment vertical="center"/>
    </xf>
    <xf numFmtId="168" fontId="34" fillId="9" borderId="0" xfId="1" applyNumberFormat="1" applyFont="1" applyFill="1" applyAlignment="1">
      <alignment vertical="center"/>
    </xf>
    <xf numFmtId="169" fontId="34" fillId="9" borderId="0" xfId="1" applyNumberFormat="1" applyFont="1" applyFill="1" applyAlignment="1">
      <alignment vertical="center"/>
    </xf>
    <xf numFmtId="11" fontId="34" fillId="9" borderId="0" xfId="1" applyNumberFormat="1" applyFont="1" applyFill="1" applyAlignment="1">
      <alignment vertical="center"/>
    </xf>
    <xf numFmtId="49" fontId="34" fillId="9" borderId="0" xfId="1" applyNumberFormat="1" applyFont="1" applyFill="1" applyAlignment="1">
      <alignment vertical="center"/>
    </xf>
    <xf numFmtId="49" fontId="34" fillId="9" borderId="0" xfId="1" applyNumberFormat="1" applyFont="1" applyFill="1" applyAlignment="1">
      <alignment horizontal="center" vertical="center"/>
    </xf>
    <xf numFmtId="0" fontId="34" fillId="10" borderId="0" xfId="1" applyFont="1" applyFill="1" applyAlignment="1">
      <alignment vertical="center"/>
    </xf>
    <xf numFmtId="0" fontId="34" fillId="10" borderId="0" xfId="1" applyFont="1" applyFill="1" applyAlignment="1">
      <alignment horizontal="center" vertical="center"/>
    </xf>
    <xf numFmtId="0" fontId="50" fillId="10" borderId="0" xfId="1" applyFont="1" applyFill="1" applyAlignment="1">
      <alignment vertical="center"/>
    </xf>
    <xf numFmtId="14" fontId="34" fillId="10" borderId="0" xfId="1" applyNumberFormat="1" applyFont="1" applyFill="1" applyAlignment="1">
      <alignment vertical="center"/>
    </xf>
    <xf numFmtId="168" fontId="34" fillId="10" borderId="0" xfId="1" applyNumberFormat="1" applyFont="1" applyFill="1" applyAlignment="1">
      <alignment vertical="center"/>
    </xf>
    <xf numFmtId="169" fontId="34" fillId="10" borderId="0" xfId="1" applyNumberFormat="1" applyFont="1" applyFill="1" applyAlignment="1">
      <alignment vertical="center"/>
    </xf>
    <xf numFmtId="0" fontId="37" fillId="18" borderId="0" xfId="1" applyFont="1" applyFill="1" applyAlignment="1">
      <alignment vertical="center" wrapText="1"/>
    </xf>
    <xf numFmtId="168" fontId="46" fillId="25" borderId="0" xfId="1" applyNumberFormat="1" applyFont="1" applyFill="1" applyAlignment="1">
      <alignment vertical="center"/>
    </xf>
    <xf numFmtId="169" fontId="47" fillId="26" borderId="0" xfId="1" applyNumberFormat="1" applyFont="1" applyFill="1" applyAlignment="1">
      <alignment vertical="center"/>
    </xf>
    <xf numFmtId="0" fontId="37" fillId="23" borderId="0" xfId="1" applyFont="1" applyFill="1" applyAlignment="1">
      <alignment vertical="center" wrapText="1"/>
    </xf>
    <xf numFmtId="168" fontId="46" fillId="28" borderId="0" xfId="1" applyNumberFormat="1" applyFont="1" applyFill="1" applyAlignment="1">
      <alignment vertical="center"/>
    </xf>
    <xf numFmtId="169" fontId="47" fillId="17" borderId="0" xfId="1" applyNumberFormat="1" applyFont="1" applyFill="1" applyAlignment="1">
      <alignment vertical="center"/>
    </xf>
    <xf numFmtId="0" fontId="49" fillId="15" borderId="0" xfId="1" applyFont="1" applyFill="1" applyAlignment="1">
      <alignment vertical="center"/>
    </xf>
    <xf numFmtId="0" fontId="49" fillId="15" borderId="0" xfId="1" applyFont="1" applyFill="1" applyAlignment="1">
      <alignment horizontal="center" vertical="center"/>
    </xf>
    <xf numFmtId="14" fontId="49" fillId="15" borderId="0" xfId="1" applyNumberFormat="1" applyFont="1" applyFill="1" applyAlignment="1">
      <alignment vertical="center"/>
    </xf>
    <xf numFmtId="168" fontId="49" fillId="15" borderId="0" xfId="1" applyNumberFormat="1" applyFont="1" applyFill="1" applyAlignment="1">
      <alignment vertical="center"/>
    </xf>
    <xf numFmtId="169" fontId="49" fillId="15" borderId="0" xfId="1" applyNumberFormat="1" applyFont="1" applyFill="1" applyAlignment="1">
      <alignment vertical="center"/>
    </xf>
    <xf numFmtId="0" fontId="49" fillId="29" borderId="0" xfId="1" applyFont="1" applyFill="1" applyAlignment="1">
      <alignment horizontal="center" vertical="center"/>
    </xf>
    <xf numFmtId="0" fontId="34" fillId="10" borderId="0" xfId="1" applyFont="1" applyFill="1" applyAlignment="1">
      <alignment horizontal="left" vertical="center"/>
    </xf>
    <xf numFmtId="0" fontId="37" fillId="18" borderId="0" xfId="1" applyFont="1" applyFill="1" applyAlignment="1">
      <alignment horizontal="left" vertical="center"/>
    </xf>
    <xf numFmtId="0" fontId="37" fillId="23" borderId="0" xfId="1" applyFont="1" applyFill="1" applyAlignment="1">
      <alignment horizontal="left" vertical="center"/>
    </xf>
    <xf numFmtId="0" fontId="49" fillId="15" borderId="0" xfId="1" applyFont="1" applyFill="1" applyAlignment="1">
      <alignment horizontal="left" vertical="center"/>
    </xf>
    <xf numFmtId="0" fontId="34" fillId="30" borderId="0" xfId="1" applyFont="1" applyFill="1" applyAlignment="1">
      <alignment vertical="center"/>
    </xf>
    <xf numFmtId="0" fontId="34" fillId="30" borderId="0" xfId="1" applyFont="1" applyFill="1" applyAlignment="1">
      <alignment horizontal="center" vertical="center"/>
    </xf>
    <xf numFmtId="0" fontId="51" fillId="30" borderId="0" xfId="1" applyFont="1" applyFill="1" applyAlignment="1">
      <alignment horizontal="left" vertical="center"/>
    </xf>
    <xf numFmtId="14" fontId="34" fillId="30" borderId="0" xfId="1" applyNumberFormat="1" applyFont="1" applyFill="1" applyAlignment="1">
      <alignment vertical="center"/>
    </xf>
    <xf numFmtId="0" fontId="52" fillId="31" borderId="0" xfId="1" applyFont="1" applyFill="1" applyAlignment="1">
      <alignment vertical="center"/>
    </xf>
    <xf numFmtId="0" fontId="52" fillId="31" borderId="0" xfId="1" applyFont="1" applyFill="1" applyAlignment="1">
      <alignment horizontal="center" vertical="center"/>
    </xf>
    <xf numFmtId="0" fontId="53" fillId="31" borderId="0" xfId="1" applyFont="1" applyFill="1" applyAlignment="1">
      <alignment vertical="center"/>
    </xf>
    <xf numFmtId="14" fontId="52" fillId="31" borderId="0" xfId="1" applyNumberFormat="1" applyFont="1" applyFill="1" applyAlignment="1">
      <alignment vertical="center"/>
    </xf>
    <xf numFmtId="168" fontId="52" fillId="31" borderId="0" xfId="1" applyNumberFormat="1" applyFont="1" applyFill="1" applyAlignment="1">
      <alignment vertical="center"/>
    </xf>
    <xf numFmtId="169" fontId="52" fillId="31" borderId="0" xfId="1" applyNumberFormat="1" applyFont="1" applyFill="1" applyAlignment="1">
      <alignment vertical="center"/>
    </xf>
    <xf numFmtId="0" fontId="45" fillId="31" borderId="0" xfId="1" applyFont="1" applyFill="1" applyAlignment="1">
      <alignment vertical="center"/>
    </xf>
    <xf numFmtId="0" fontId="54" fillId="31" borderId="0" xfId="1" applyFont="1" applyFill="1" applyAlignment="1">
      <alignment horizontal="center" vertical="center"/>
    </xf>
    <xf numFmtId="0" fontId="55" fillId="31" borderId="0" xfId="1" applyFont="1" applyFill="1" applyAlignment="1">
      <alignment vertical="center" wrapText="1"/>
    </xf>
    <xf numFmtId="0" fontId="45" fillId="31" borderId="0" xfId="1" applyFont="1" applyFill="1" applyAlignment="1">
      <alignment horizontal="center" vertical="center"/>
    </xf>
    <xf numFmtId="0" fontId="55" fillId="31" borderId="0" xfId="1" applyFont="1" applyFill="1" applyAlignment="1">
      <alignment vertical="center"/>
    </xf>
    <xf numFmtId="14" fontId="55" fillId="31" borderId="0" xfId="1" applyNumberFormat="1" applyFont="1" applyFill="1" applyAlignment="1">
      <alignment vertical="center"/>
    </xf>
    <xf numFmtId="168" fontId="54" fillId="31" borderId="0" xfId="1" applyNumberFormat="1" applyFont="1" applyFill="1" applyAlignment="1">
      <alignment vertical="center"/>
    </xf>
    <xf numFmtId="169" fontId="54" fillId="31" borderId="0" xfId="1" applyNumberFormat="1" applyFont="1" applyFill="1" applyAlignment="1">
      <alignment vertical="center"/>
    </xf>
    <xf numFmtId="0" fontId="56" fillId="31" borderId="0" xfId="1" applyFont="1" applyFill="1" applyAlignment="1">
      <alignment vertical="center"/>
    </xf>
    <xf numFmtId="0" fontId="56" fillId="31" borderId="0" xfId="1" applyFont="1" applyFill="1" applyAlignment="1">
      <alignment horizontal="center" vertical="center"/>
    </xf>
    <xf numFmtId="14" fontId="56" fillId="31" borderId="0" xfId="1" applyNumberFormat="1" applyFont="1" applyFill="1" applyAlignment="1">
      <alignment vertical="center"/>
    </xf>
    <xf numFmtId="168" fontId="56" fillId="31" borderId="0" xfId="1" applyNumberFormat="1" applyFont="1" applyFill="1" applyAlignment="1">
      <alignment vertical="center"/>
    </xf>
    <xf numFmtId="169" fontId="56" fillId="31" borderId="0" xfId="1" applyNumberFormat="1" applyFont="1" applyFill="1" applyAlignment="1">
      <alignment vertical="center"/>
    </xf>
    <xf numFmtId="0" fontId="34" fillId="32" borderId="0" xfId="1" applyFont="1" applyFill="1" applyAlignment="1">
      <alignment vertical="center"/>
    </xf>
    <xf numFmtId="0" fontId="34" fillId="32" borderId="0" xfId="1" applyFont="1" applyFill="1" applyAlignment="1">
      <alignment horizontal="center" vertical="center"/>
    </xf>
    <xf numFmtId="0" fontId="50" fillId="32" borderId="0" xfId="1" applyFont="1" applyFill="1" applyAlignment="1">
      <alignment vertical="center"/>
    </xf>
    <xf numFmtId="14" fontId="34" fillId="32" borderId="0" xfId="1" applyNumberFormat="1" applyFont="1" applyFill="1" applyAlignment="1">
      <alignment vertical="center"/>
    </xf>
    <xf numFmtId="168" fontId="34" fillId="32" borderId="0" xfId="1" applyNumberFormat="1" applyFont="1" applyFill="1" applyAlignment="1">
      <alignment vertical="center"/>
    </xf>
    <xf numFmtId="169" fontId="34" fillId="32" borderId="0" xfId="1" applyNumberFormat="1" applyFont="1" applyFill="1" applyAlignment="1">
      <alignment vertical="center"/>
    </xf>
    <xf numFmtId="14" fontId="37" fillId="0" borderId="0" xfId="1" applyNumberFormat="1" applyFont="1" applyAlignment="1">
      <alignment vertical="center"/>
    </xf>
    <xf numFmtId="0" fontId="57" fillId="9" borderId="0" xfId="1" applyFont="1" applyFill="1" applyAlignment="1">
      <alignment horizontal="center" vertical="center"/>
    </xf>
    <xf numFmtId="14" fontId="57" fillId="9" borderId="0" xfId="1" applyNumberFormat="1" applyFont="1" applyFill="1" applyAlignment="1">
      <alignment horizontal="center" vertical="center"/>
    </xf>
    <xf numFmtId="14" fontId="30" fillId="0" borderId="0" xfId="1" applyNumberFormat="1"/>
    <xf numFmtId="0" fontId="58" fillId="33" borderId="0" xfId="0" applyFont="1" applyFill="1"/>
    <xf numFmtId="0" fontId="59" fillId="34" borderId="0" xfId="0" applyFont="1" applyFill="1"/>
    <xf numFmtId="0" fontId="60" fillId="0" borderId="0" xfId="0" applyFont="1"/>
    <xf numFmtId="0" fontId="60" fillId="35" borderId="0" xfId="0" applyFont="1" applyFill="1"/>
    <xf numFmtId="0" fontId="61" fillId="36" borderId="0" xfId="0" applyFont="1" applyFill="1"/>
    <xf numFmtId="0" fontId="61" fillId="36" borderId="0" xfId="0" applyFont="1" applyFill="1" applyAlignment="1">
      <alignment horizontal="center"/>
    </xf>
    <xf numFmtId="0" fontId="62" fillId="37" borderId="0" xfId="0" applyFont="1" applyFill="1"/>
    <xf numFmtId="0" fontId="63" fillId="37" borderId="0" xfId="0" applyFont="1" applyFill="1"/>
    <xf numFmtId="0" fontId="63" fillId="37" borderId="0" xfId="0" applyFont="1" applyFill="1" applyAlignment="1">
      <alignment horizontal="center"/>
    </xf>
    <xf numFmtId="0" fontId="64" fillId="37" borderId="0" xfId="0" applyFont="1" applyFill="1"/>
    <xf numFmtId="0" fontId="65" fillId="38" borderId="0" xfId="0" applyFont="1" applyFill="1"/>
    <xf numFmtId="0" fontId="66" fillId="0" borderId="0" xfId="0" applyFont="1"/>
    <xf numFmtId="0" fontId="66" fillId="0" borderId="0" xfId="0" applyFont="1" applyAlignment="1">
      <alignment horizontal="center"/>
    </xf>
    <xf numFmtId="170" fontId="66" fillId="0" borderId="0" xfId="0" applyNumberFormat="1" applyFont="1"/>
    <xf numFmtId="9" fontId="66" fillId="0" borderId="0" xfId="0" applyNumberFormat="1" applyFont="1"/>
    <xf numFmtId="171" fontId="66" fillId="0" borderId="0" xfId="0" applyNumberFormat="1" applyFont="1"/>
    <xf numFmtId="0" fontId="67" fillId="0" borderId="0" xfId="0" applyFont="1"/>
    <xf numFmtId="171" fontId="0" fillId="0" borderId="0" xfId="0" applyNumberFormat="1"/>
    <xf numFmtId="0" fontId="68" fillId="0" borderId="0" xfId="0" applyFont="1"/>
    <xf numFmtId="0" fontId="68" fillId="0" borderId="0" xfId="0" applyFont="1" applyAlignment="1">
      <alignment horizontal="center"/>
    </xf>
    <xf numFmtId="170" fontId="68" fillId="0" borderId="0" xfId="0" applyNumberFormat="1" applyFont="1"/>
    <xf numFmtId="9" fontId="68" fillId="0" borderId="0" xfId="0" applyNumberFormat="1" applyFont="1"/>
    <xf numFmtId="171" fontId="68" fillId="0" borderId="0" xfId="0" applyNumberFormat="1" applyFont="1"/>
    <xf numFmtId="0" fontId="0" fillId="39" borderId="0" xfId="0" applyFill="1"/>
    <xf numFmtId="0" fontId="69" fillId="40" borderId="0" xfId="0" applyFont="1" applyFill="1"/>
    <xf numFmtId="0" fontId="0" fillId="40" borderId="0" xfId="0" applyFill="1"/>
    <xf numFmtId="171" fontId="69" fillId="40" borderId="0" xfId="0" applyNumberFormat="1" applyFont="1" applyFill="1"/>
    <xf numFmtId="0" fontId="70" fillId="41" borderId="0" xfId="0" applyFont="1" applyFill="1"/>
    <xf numFmtId="171" fontId="70" fillId="41" borderId="0" xfId="0" applyNumberFormat="1" applyFont="1" applyFill="1"/>
    <xf numFmtId="171" fontId="63" fillId="37" borderId="0" xfId="0" applyNumberFormat="1" applyFont="1" applyFill="1"/>
    <xf numFmtId="0" fontId="62" fillId="42" borderId="0" xfId="0" applyFont="1" applyFill="1"/>
    <xf numFmtId="0" fontId="63" fillId="42" borderId="0" xfId="0" applyFont="1" applyFill="1"/>
    <xf numFmtId="0" fontId="63" fillId="42" borderId="0" xfId="0" applyFont="1" applyFill="1" applyAlignment="1">
      <alignment horizontal="center"/>
    </xf>
    <xf numFmtId="0" fontId="64" fillId="42" borderId="0" xfId="0" applyFont="1" applyFill="1"/>
    <xf numFmtId="171" fontId="63" fillId="42" borderId="0" xfId="0" applyNumberFormat="1" applyFont="1" applyFill="1"/>
    <xf numFmtId="0" fontId="62" fillId="43" borderId="0" xfId="0" applyFont="1" applyFill="1"/>
    <xf numFmtId="0" fontId="63" fillId="43" borderId="0" xfId="0" applyFont="1" applyFill="1"/>
    <xf numFmtId="0" fontId="63" fillId="43" borderId="0" xfId="0" applyFont="1" applyFill="1" applyAlignment="1">
      <alignment horizontal="center"/>
    </xf>
    <xf numFmtId="0" fontId="64" fillId="43" borderId="0" xfId="0" applyFont="1" applyFill="1"/>
    <xf numFmtId="173" fontId="66" fillId="0" borderId="0" xfId="0" applyNumberFormat="1" applyFont="1"/>
    <xf numFmtId="173" fontId="68" fillId="0" borderId="0" xfId="0" applyNumberFormat="1" applyFont="1"/>
    <xf numFmtId="171" fontId="63" fillId="43" borderId="0" xfId="0" applyNumberFormat="1" applyFont="1" applyFill="1"/>
    <xf numFmtId="0" fontId="63" fillId="44" borderId="0" xfId="0" applyFont="1" applyFill="1"/>
    <xf numFmtId="0" fontId="0" fillId="44" borderId="0" xfId="0" applyFill="1"/>
    <xf numFmtId="0" fontId="63" fillId="44" borderId="0" xfId="0" applyFont="1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171" fontId="29" fillId="0" borderId="0" xfId="0" applyNumberFormat="1" applyFont="1"/>
    <xf numFmtId="171" fontId="71" fillId="0" borderId="0" xfId="0" applyNumberFormat="1" applyFont="1"/>
    <xf numFmtId="0" fontId="72" fillId="37" borderId="0" xfId="0" applyFont="1" applyFill="1"/>
    <xf numFmtId="0" fontId="0" fillId="37" borderId="0" xfId="0" applyFill="1"/>
    <xf numFmtId="171" fontId="72" fillId="37" borderId="0" xfId="0" applyNumberFormat="1" applyFont="1" applyFill="1"/>
    <xf numFmtId="0" fontId="61" fillId="45" borderId="0" xfId="0" applyFont="1" applyFill="1"/>
    <xf numFmtId="0" fontId="61" fillId="45" borderId="0" xfId="0" applyFont="1" applyFill="1" applyAlignment="1">
      <alignment horizontal="center"/>
    </xf>
    <xf numFmtId="0" fontId="62" fillId="46" borderId="0" xfId="0" applyFont="1" applyFill="1"/>
    <xf numFmtId="0" fontId="63" fillId="46" borderId="0" xfId="0" applyFont="1" applyFill="1"/>
    <xf numFmtId="0" fontId="63" fillId="46" borderId="0" xfId="0" applyFont="1" applyFill="1" applyAlignment="1">
      <alignment horizontal="center"/>
    </xf>
    <xf numFmtId="0" fontId="64" fillId="46" borderId="0" xfId="0" applyFont="1" applyFill="1"/>
    <xf numFmtId="171" fontId="63" fillId="46" borderId="0" xfId="0" applyNumberFormat="1" applyFont="1" applyFill="1"/>
    <xf numFmtId="0" fontId="72" fillId="45" borderId="0" xfId="0" applyFont="1" applyFill="1"/>
    <xf numFmtId="0" fontId="0" fillId="45" borderId="0" xfId="0" applyFill="1"/>
    <xf numFmtId="171" fontId="72" fillId="45" borderId="0" xfId="0" applyNumberFormat="1" applyFont="1" applyFill="1"/>
    <xf numFmtId="0" fontId="58" fillId="47" borderId="0" xfId="0" applyFont="1" applyFill="1"/>
    <xf numFmtId="0" fontId="73" fillId="48" borderId="0" xfId="0" applyFont="1" applyFill="1"/>
    <xf numFmtId="0" fontId="60" fillId="49" borderId="0" xfId="0" applyFont="1" applyFill="1"/>
    <xf numFmtId="0" fontId="61" fillId="47" borderId="0" xfId="0" applyFont="1" applyFill="1"/>
    <xf numFmtId="0" fontId="61" fillId="47" borderId="0" xfId="0" applyFont="1" applyFill="1" applyAlignment="1">
      <alignment horizontal="center"/>
    </xf>
    <xf numFmtId="0" fontId="62" fillId="50" borderId="0" xfId="0" applyFont="1" applyFill="1"/>
    <xf numFmtId="0" fontId="63" fillId="50" borderId="0" xfId="0" applyFont="1" applyFill="1"/>
    <xf numFmtId="0" fontId="63" fillId="50" borderId="0" xfId="0" applyFont="1" applyFill="1" applyAlignment="1">
      <alignment horizontal="center"/>
    </xf>
    <xf numFmtId="0" fontId="64" fillId="50" borderId="0" xfId="0" applyFont="1" applyFill="1"/>
    <xf numFmtId="174" fontId="66" fillId="0" borderId="0" xfId="0" applyNumberFormat="1" applyFont="1"/>
    <xf numFmtId="2" fontId="68" fillId="0" borderId="0" xfId="0" applyNumberFormat="1" applyFont="1"/>
    <xf numFmtId="171" fontId="63" fillId="50" borderId="0" xfId="0" applyNumberFormat="1" applyFont="1" applyFill="1"/>
    <xf numFmtId="0" fontId="58" fillId="45" borderId="0" xfId="0" applyFont="1" applyFill="1" applyAlignment="1">
      <alignment wrapText="1"/>
    </xf>
    <xf numFmtId="0" fontId="62" fillId="51" borderId="0" xfId="0" applyFont="1" applyFill="1"/>
    <xf numFmtId="0" fontId="63" fillId="51" borderId="0" xfId="0" applyFont="1" applyFill="1"/>
    <xf numFmtId="0" fontId="63" fillId="51" borderId="0" xfId="0" applyFont="1" applyFill="1" applyAlignment="1">
      <alignment horizontal="center"/>
    </xf>
    <xf numFmtId="0" fontId="64" fillId="51" borderId="0" xfId="0" applyFont="1" applyFill="1"/>
    <xf numFmtId="171" fontId="63" fillId="51" borderId="0" xfId="0" applyNumberFormat="1" applyFont="1" applyFill="1"/>
    <xf numFmtId="0" fontId="62" fillId="52" borderId="0" xfId="0" applyFont="1" applyFill="1"/>
    <xf numFmtId="0" fontId="63" fillId="52" borderId="0" xfId="0" applyFont="1" applyFill="1"/>
    <xf numFmtId="0" fontId="63" fillId="52" borderId="0" xfId="0" applyFont="1" applyFill="1" applyAlignment="1">
      <alignment horizontal="center"/>
    </xf>
    <xf numFmtId="0" fontId="64" fillId="52" borderId="0" xfId="0" applyFont="1" applyFill="1"/>
    <xf numFmtId="171" fontId="63" fillId="52" borderId="0" xfId="0" applyNumberFormat="1" applyFont="1" applyFill="1"/>
    <xf numFmtId="0" fontId="62" fillId="53" borderId="0" xfId="0" applyFont="1" applyFill="1"/>
    <xf numFmtId="0" fontId="63" fillId="53" borderId="0" xfId="0" applyFont="1" applyFill="1"/>
    <xf numFmtId="0" fontId="63" fillId="53" borderId="0" xfId="0" applyFont="1" applyFill="1" applyAlignment="1">
      <alignment horizontal="center"/>
    </xf>
    <xf numFmtId="0" fontId="64" fillId="53" borderId="0" xfId="0" applyFont="1" applyFill="1"/>
    <xf numFmtId="171" fontId="63" fillId="53" borderId="0" xfId="0" applyNumberFormat="1" applyFont="1" applyFill="1"/>
    <xf numFmtId="0" fontId="63" fillId="47" borderId="0" xfId="0" applyFont="1" applyFill="1"/>
    <xf numFmtId="0" fontId="0" fillId="47" borderId="0" xfId="0" applyFill="1"/>
    <xf numFmtId="0" fontId="63" fillId="47" borderId="0" xfId="0" applyFont="1" applyFill="1" applyAlignment="1">
      <alignment horizontal="center"/>
    </xf>
    <xf numFmtId="175" fontId="0" fillId="0" borderId="0" xfId="0" applyNumberFormat="1"/>
    <xf numFmtId="0" fontId="72" fillId="47" borderId="0" xfId="0" applyFont="1" applyFill="1"/>
    <xf numFmtId="171" fontId="72" fillId="47" borderId="0" xfId="0" applyNumberFormat="1" applyFont="1" applyFill="1"/>
    <xf numFmtId="0" fontId="74" fillId="44" borderId="0" xfId="0" applyFont="1" applyFill="1"/>
    <xf numFmtId="0" fontId="75" fillId="54" borderId="0" xfId="0" applyFont="1" applyFill="1"/>
    <xf numFmtId="0" fontId="76" fillId="55" borderId="0" xfId="0" applyFont="1" applyFill="1"/>
    <xf numFmtId="0" fontId="62" fillId="36" borderId="0" xfId="0" applyFont="1" applyFill="1"/>
    <xf numFmtId="0" fontId="62" fillId="36" borderId="0" xfId="0" applyFont="1" applyFill="1" applyAlignment="1">
      <alignment horizontal="center"/>
    </xf>
    <xf numFmtId="0" fontId="0" fillId="41" borderId="0" xfId="0" applyFill="1"/>
    <xf numFmtId="169" fontId="70" fillId="41" borderId="0" xfId="0" applyNumberFormat="1" applyFont="1" applyFill="1"/>
    <xf numFmtId="0" fontId="63" fillId="45" borderId="0" xfId="0" applyFont="1" applyFill="1"/>
    <xf numFmtId="0" fontId="77" fillId="56" borderId="0" xfId="0" applyFont="1" applyFill="1"/>
    <xf numFmtId="0" fontId="0" fillId="56" borderId="0" xfId="0" applyFill="1"/>
    <xf numFmtId="171" fontId="77" fillId="56" borderId="0" xfId="0" applyNumberFormat="1" applyFont="1" applyFill="1"/>
    <xf numFmtId="169" fontId="77" fillId="56" borderId="0" xfId="0" applyNumberFormat="1" applyFont="1" applyFill="1"/>
    <xf numFmtId="0" fontId="78" fillId="48" borderId="0" xfId="0" applyFont="1" applyFill="1"/>
    <xf numFmtId="0" fontId="0" fillId="48" borderId="0" xfId="0" applyFill="1"/>
    <xf numFmtId="171" fontId="78" fillId="48" borderId="0" xfId="0" applyNumberFormat="1" applyFont="1" applyFill="1"/>
    <xf numFmtId="169" fontId="78" fillId="48" borderId="0" xfId="0" applyNumberFormat="1" applyFont="1" applyFill="1"/>
    <xf numFmtId="0" fontId="79" fillId="44" borderId="0" xfId="0" applyFont="1" applyFill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66" fillId="0" borderId="0" xfId="0" applyFont="1" applyAlignment="1">
      <alignment wrapText="1"/>
    </xf>
    <xf numFmtId="0" fontId="68" fillId="0" borderId="0" xfId="0" applyFont="1" applyAlignment="1">
      <alignment wrapText="1"/>
    </xf>
    <xf numFmtId="0" fontId="65" fillId="38" borderId="0" xfId="0" applyFont="1" applyFill="1" applyAlignment="1">
      <alignment wrapText="1"/>
    </xf>
    <xf numFmtId="0" fontId="84" fillId="0" borderId="0" xfId="0" applyFont="1"/>
    <xf numFmtId="0" fontId="85" fillId="0" borderId="0" xfId="0" applyFont="1"/>
    <xf numFmtId="0" fontId="72" fillId="57" borderId="0" xfId="0" applyFont="1" applyFill="1"/>
    <xf numFmtId="0" fontId="0" fillId="58" borderId="0" xfId="0" applyFill="1"/>
    <xf numFmtId="0" fontId="0" fillId="59" borderId="0" xfId="0" applyFill="1"/>
    <xf numFmtId="0" fontId="90" fillId="0" borderId="0" xfId="0" applyFont="1"/>
    <xf numFmtId="0" fontId="90" fillId="0" borderId="0" xfId="0" applyFont="1" applyAlignment="1">
      <alignment horizontal="center"/>
    </xf>
    <xf numFmtId="0" fontId="0" fillId="0" borderId="0" xfId="0" applyAlignment="1">
      <alignment wrapText="1"/>
    </xf>
    <xf numFmtId="0" fontId="93" fillId="0" borderId="0" xfId="0" applyFont="1"/>
    <xf numFmtId="0" fontId="95" fillId="0" borderId="0" xfId="0" applyFont="1"/>
    <xf numFmtId="0" fontId="96" fillId="0" borderId="0" xfId="0" applyFont="1"/>
    <xf numFmtId="0" fontId="62" fillId="57" borderId="0" xfId="0" applyFont="1" applyFill="1"/>
    <xf numFmtId="0" fontId="62" fillId="57" borderId="0" xfId="0" applyFont="1" applyFill="1" applyAlignment="1">
      <alignment horizontal="center"/>
    </xf>
    <xf numFmtId="0" fontId="85" fillId="60" borderId="0" xfId="0" applyFont="1" applyFill="1"/>
    <xf numFmtId="0" fontId="97" fillId="0" borderId="0" xfId="0" applyFont="1"/>
    <xf numFmtId="0" fontId="97" fillId="60" borderId="0" xfId="0" applyFont="1" applyFill="1" applyAlignment="1">
      <alignment horizontal="center"/>
    </xf>
    <xf numFmtId="0" fontId="92" fillId="60" borderId="0" xfId="0" applyFont="1" applyFill="1"/>
    <xf numFmtId="0" fontId="86" fillId="0" borderId="0" xfId="0" applyFont="1" applyAlignment="1">
      <alignment horizontal="center"/>
    </xf>
    <xf numFmtId="0" fontId="86" fillId="0" borderId="0" xfId="0" applyFont="1" applyAlignment="1">
      <alignment horizontal="right"/>
    </xf>
    <xf numFmtId="169" fontId="86" fillId="0" borderId="0" xfId="0" applyNumberFormat="1" applyFont="1" applyAlignment="1">
      <alignment horizontal="right"/>
    </xf>
    <xf numFmtId="171" fontId="86" fillId="0" borderId="0" xfId="0" applyNumberFormat="1" applyFont="1" applyAlignment="1">
      <alignment horizontal="right"/>
    </xf>
    <xf numFmtId="172" fontId="86" fillId="0" borderId="0" xfId="0" applyNumberFormat="1" applyFont="1" applyAlignment="1">
      <alignment horizontal="right"/>
    </xf>
    <xf numFmtId="0" fontId="91" fillId="0" borderId="0" xfId="0" applyFont="1" applyAlignment="1">
      <alignment horizontal="center"/>
    </xf>
    <xf numFmtId="169" fontId="91" fillId="0" borderId="0" xfId="0" applyNumberFormat="1" applyFont="1" applyAlignment="1">
      <alignment horizontal="right"/>
    </xf>
    <xf numFmtId="171" fontId="91" fillId="0" borderId="0" xfId="0" applyNumberFormat="1" applyFont="1" applyAlignment="1">
      <alignment horizontal="right"/>
    </xf>
    <xf numFmtId="172" fontId="91" fillId="0" borderId="0" xfId="0" applyNumberFormat="1" applyFont="1" applyAlignment="1">
      <alignment horizontal="right"/>
    </xf>
    <xf numFmtId="0" fontId="88" fillId="61" borderId="0" xfId="0" applyFont="1" applyFill="1"/>
    <xf numFmtId="172" fontId="88" fillId="61" borderId="0" xfId="0" applyNumberFormat="1" applyFont="1" applyFill="1" applyAlignment="1">
      <alignment horizontal="right"/>
    </xf>
    <xf numFmtId="0" fontId="98" fillId="0" borderId="0" xfId="0" applyFont="1"/>
    <xf numFmtId="172" fontId="98" fillId="0" borderId="0" xfId="0" applyNumberFormat="1" applyFont="1" applyAlignment="1">
      <alignment horizontal="right"/>
    </xf>
    <xf numFmtId="0" fontId="99" fillId="0" borderId="0" xfId="0" applyFont="1"/>
    <xf numFmtId="0" fontId="99" fillId="62" borderId="0" xfId="0" applyFont="1" applyFill="1"/>
    <xf numFmtId="172" fontId="99" fillId="62" borderId="0" xfId="0" applyNumberFormat="1" applyFont="1" applyFill="1" applyAlignment="1">
      <alignment horizontal="right"/>
    </xf>
    <xf numFmtId="2" fontId="86" fillId="0" borderId="0" xfId="0" applyNumberFormat="1" applyFont="1" applyAlignment="1">
      <alignment horizontal="right"/>
    </xf>
    <xf numFmtId="2" fontId="91" fillId="0" borderId="0" xfId="0" applyNumberFormat="1" applyFont="1" applyAlignment="1">
      <alignment horizontal="right"/>
    </xf>
    <xf numFmtId="0" fontId="94" fillId="0" borderId="0" xfId="0" applyFont="1" applyAlignment="1">
      <alignment horizontal="center"/>
    </xf>
    <xf numFmtId="0" fontId="94" fillId="0" borderId="0" xfId="0" applyFont="1" applyAlignment="1">
      <alignment horizontal="right"/>
    </xf>
    <xf numFmtId="169" fontId="94" fillId="0" borderId="0" xfId="0" applyNumberFormat="1" applyFont="1" applyAlignment="1">
      <alignment horizontal="right"/>
    </xf>
    <xf numFmtId="171" fontId="94" fillId="0" borderId="0" xfId="0" applyNumberFormat="1" applyFont="1" applyAlignment="1">
      <alignment horizontal="right"/>
    </xf>
    <xf numFmtId="172" fontId="94" fillId="0" borderId="0" xfId="0" applyNumberFormat="1" applyFont="1" applyAlignment="1">
      <alignment horizontal="right"/>
    </xf>
    <xf numFmtId="0" fontId="0" fillId="57" borderId="0" xfId="0" applyFill="1"/>
    <xf numFmtId="3" fontId="86" fillId="0" borderId="0" xfId="0" applyNumberFormat="1" applyFont="1" applyAlignment="1">
      <alignment horizontal="right"/>
    </xf>
    <xf numFmtId="172" fontId="90" fillId="0" borderId="0" xfId="0" applyNumberFormat="1" applyFont="1" applyAlignment="1">
      <alignment horizontal="right"/>
    </xf>
    <xf numFmtId="0" fontId="89" fillId="58" borderId="0" xfId="0" applyFont="1" applyFill="1"/>
    <xf numFmtId="172" fontId="89" fillId="58" borderId="0" xfId="0" applyNumberFormat="1" applyFont="1" applyFill="1" applyAlignment="1">
      <alignment horizontal="right"/>
    </xf>
    <xf numFmtId="0" fontId="100" fillId="59" borderId="0" xfId="0" applyFont="1" applyFill="1"/>
    <xf numFmtId="172" fontId="101" fillId="59" borderId="7" xfId="0" applyNumberFormat="1" applyFont="1" applyFill="1" applyBorder="1" applyAlignment="1">
      <alignment horizontal="right"/>
    </xf>
    <xf numFmtId="0" fontId="63" fillId="57" borderId="0" xfId="0" applyFont="1" applyFill="1"/>
    <xf numFmtId="172" fontId="102" fillId="0" borderId="0" xfId="0" applyNumberFormat="1" applyFont="1" applyAlignment="1">
      <alignment horizontal="right"/>
    </xf>
    <xf numFmtId="0" fontId="87" fillId="58" borderId="0" xfId="0" applyFont="1" applyFill="1"/>
    <xf numFmtId="172" fontId="87" fillId="58" borderId="0" xfId="0" applyNumberFormat="1" applyFont="1" applyFill="1" applyAlignment="1">
      <alignment horizontal="right"/>
    </xf>
    <xf numFmtId="172" fontId="79" fillId="44" borderId="0" xfId="0" applyNumberFormat="1" applyFont="1" applyFill="1" applyAlignment="1">
      <alignment horizontal="right"/>
    </xf>
    <xf numFmtId="0" fontId="79" fillId="44" borderId="0" xfId="0" applyFont="1" applyFill="1" applyAlignment="1">
      <alignment horizontal="right"/>
    </xf>
    <xf numFmtId="0" fontId="103" fillId="63" borderId="0" xfId="0" applyFont="1" applyFill="1"/>
    <xf numFmtId="0" fontId="85" fillId="60" borderId="0" xfId="0" applyFont="1" applyFill="1" applyAlignment="1">
      <alignment wrapText="1"/>
    </xf>
    <xf numFmtId="0" fontId="0" fillId="7" borderId="2" xfId="0" applyFill="1" applyBorder="1" applyAlignment="1">
      <alignment horizontal="center"/>
    </xf>
    <xf numFmtId="173" fontId="104" fillId="0" borderId="2" xfId="0" applyNumberFormat="1" applyFont="1" applyBorder="1" applyAlignment="1">
      <alignment horizontal="right" vertical="center"/>
    </xf>
    <xf numFmtId="169" fontId="104" fillId="0" borderId="2" xfId="0" applyNumberFormat="1" applyFont="1" applyBorder="1" applyAlignment="1">
      <alignment horizontal="right" vertical="center"/>
    </xf>
    <xf numFmtId="171" fontId="104" fillId="0" borderId="2" xfId="0" applyNumberFormat="1" applyFont="1" applyBorder="1" applyAlignment="1">
      <alignment horizontal="right" vertical="center"/>
    </xf>
    <xf numFmtId="172" fontId="104" fillId="0" borderId="2" xfId="0" applyNumberFormat="1" applyFont="1" applyBorder="1" applyAlignment="1">
      <alignment horizontal="right" vertical="center"/>
    </xf>
    <xf numFmtId="173" fontId="105" fillId="0" borderId="2" xfId="0" applyNumberFormat="1" applyFont="1" applyBorder="1" applyAlignment="1">
      <alignment horizontal="right" vertical="center"/>
    </xf>
    <xf numFmtId="0" fontId="9" fillId="0" borderId="0" xfId="0" applyFont="1" applyAlignment="1">
      <alignment horizontal="left" vertical="top" wrapText="1"/>
    </xf>
    <xf numFmtId="0" fontId="0" fillId="0" borderId="0" xfId="0"/>
    <xf numFmtId="0" fontId="31" fillId="9" borderId="0" xfId="1" applyFont="1" applyFill="1" applyAlignment="1">
      <alignment horizontal="center"/>
    </xf>
    <xf numFmtId="0" fontId="32" fillId="0" borderId="0" xfId="1" applyFont="1"/>
    <xf numFmtId="0" fontId="33" fillId="10" borderId="0" xfId="1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6" fillId="0" borderId="0" xfId="0" applyFont="1" applyAlignment="1">
      <alignment horizontal="left" vertical="center"/>
    </xf>
    <xf numFmtId="0" fontId="19" fillId="0" borderId="0" xfId="0" applyFont="1"/>
    <xf numFmtId="0" fontId="12" fillId="3" borderId="0" xfId="0" applyFont="1" applyFill="1" applyAlignment="1">
      <alignment horizontal="left" vertical="center"/>
    </xf>
    <xf numFmtId="0" fontId="28" fillId="8" borderId="2" xfId="0" applyFont="1" applyFill="1" applyBorder="1" applyAlignment="1">
      <alignment horizontal="left" vertical="top" wrapText="1"/>
    </xf>
    <xf numFmtId="0" fontId="0" fillId="8" borderId="2" xfId="0" applyFill="1" applyBorder="1"/>
    <xf numFmtId="0" fontId="106" fillId="0" borderId="2" xfId="0" applyFont="1" applyBorder="1"/>
    <xf numFmtId="0" fontId="85" fillId="0" borderId="0" xfId="0" applyFont="1" applyAlignment="1">
      <alignment horizontal="center"/>
    </xf>
    <xf numFmtId="0" fontId="16" fillId="0" borderId="2" xfId="0" applyFont="1" applyBorder="1" applyAlignment="1">
      <alignment horizontal="center"/>
    </xf>
    <xf numFmtId="0" fontId="97" fillId="0" borderId="0" xfId="0" applyFont="1" applyAlignment="1">
      <alignment horizontal="center"/>
    </xf>
    <xf numFmtId="0" fontId="106" fillId="0" borderId="2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07" fillId="0" borderId="2" xfId="0" applyFont="1" applyBorder="1"/>
    <xf numFmtId="0" fontId="0" fillId="0" borderId="2" xfId="0" applyFont="1" applyBorder="1" applyAlignment="1">
      <alignment horizontal="center" vertical="center" wrapText="1"/>
    </xf>
    <xf numFmtId="4" fontId="104" fillId="0" borderId="2" xfId="0" applyNumberFormat="1" applyFont="1" applyBorder="1" applyAlignment="1">
      <alignment horizontal="right" vertical="center"/>
    </xf>
    <xf numFmtId="0" fontId="0" fillId="7" borderId="2" xfId="0" applyFont="1" applyFill="1" applyBorder="1" applyAlignment="1">
      <alignment horizontal="center"/>
    </xf>
    <xf numFmtId="0" fontId="86" fillId="7" borderId="2" xfId="0" applyFont="1" applyFill="1" applyBorder="1" applyAlignment="1">
      <alignment horizontal="right"/>
    </xf>
    <xf numFmtId="171" fontId="86" fillId="7" borderId="2" xfId="0" applyNumberFormat="1" applyFont="1" applyFill="1" applyBorder="1" applyAlignment="1">
      <alignment horizontal="right"/>
    </xf>
    <xf numFmtId="169" fontId="86" fillId="7" borderId="2" xfId="0" applyNumberFormat="1" applyFont="1" applyFill="1" applyBorder="1" applyAlignment="1">
      <alignment horizontal="right"/>
    </xf>
    <xf numFmtId="0" fontId="108" fillId="0" borderId="0" xfId="0" applyFont="1"/>
    <xf numFmtId="49" fontId="5" fillId="4" borderId="2" xfId="0" applyNumberFormat="1" applyFont="1" applyFill="1" applyBorder="1"/>
    <xf numFmtId="49" fontId="15" fillId="0" borderId="2" xfId="0" applyNumberFormat="1" applyFont="1" applyBorder="1"/>
    <xf numFmtId="49" fontId="15" fillId="0" borderId="2" xfId="0" applyNumberFormat="1" applyFont="1" applyBorder="1" applyAlignment="1">
      <alignment horizontal="left"/>
    </xf>
    <xf numFmtId="0" fontId="16" fillId="0" borderId="2" xfId="0" applyFont="1" applyBorder="1" applyAlignment="1">
      <alignment horizontal="left" vertical="center" indent="2"/>
    </xf>
  </cellXfs>
  <cellStyles count="2">
    <cellStyle name="Normal" xfId="0" builtinId="0"/>
    <cellStyle name="Normal 2" xfId="1" xr:uid="{955DF01D-62B6-4C3F-8F99-6AB844CF70BB}"/>
  </cellStyles>
  <dxfs count="2">
    <dxf>
      <fill>
        <patternFill patternType="solid">
          <fgColor rgb="FFD1FAE5"/>
        </patternFill>
      </fill>
    </dxf>
    <dxf>
      <font>
        <b/>
        <sz val="10"/>
        <color rgb="FFB91C1C"/>
        <name val="Calibri"/>
      </font>
      <fill>
        <patternFill patternType="solid">
          <f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%20PC\Desktop\Programacion_Obra_SANTAISABEL_Profesional-TORRE(Recuperado%20autom&#225;ticamente).xlsx" TargetMode="External"/><Relationship Id="rId1" Type="http://schemas.openxmlformats.org/officeDocument/2006/relationships/externalLinkPath" Target="/Users/MI%20PC/Desktop/Programacion_Obra_SANTAISABEL_Profesional-TORRE(Recuperado%20autom&#225;ticament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ADA "/>
      <sheetName val="CONFIGURACIÓN"/>
      <sheetName val="📊 DASHBOARD"/>
      <sheetName val="RESUMEN GANT "/>
      <sheetName val="PROG. MAESTRA"/>
      <sheetName val="PROGRAMACIÓN FASES."/>
      <sheetName val="PROCESO DETALLADO"/>
      <sheetName val="TORRE -"/>
      <sheetName val="TANQUE — PROC. DETALLADO"/>
      <sheetName val="URBANISMO INTEGRAL"/>
      <sheetName val="CASAS VIS — PROC. COMPLETO"/>
      <sheetName val=" PARQUEADERO -ZONA SOCIAL"/>
      <sheetName val="LOCALES — PROC. DETALLADO"/>
      <sheetName val="EQUIPOS ESPECIALES"/>
      <sheetName val="PERSONAL POR FASES"/>
      <sheetName val="CAMPAMENTOS F0-F2"/>
      <sheetName val="MATERIALES "/>
      <sheetName val="CANTIDADES OBRA"/>
      <sheetName val="ESPECIFICACIONES TECNICAS"/>
      <sheetName val="METODOLOGIAS"/>
    </sheetNames>
    <sheetDataSet>
      <sheetData sheetId="0"/>
      <sheetData sheetId="1">
        <row r="4">
          <cell r="B4">
            <v>46174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43CE00-95D4-4D86-9799-12F4448756B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95b0d7d3-cf08-4c72-a7c4-b48582cb0cc7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showGridLines="0" topLeftCell="A5" workbookViewId="0"/>
  </sheetViews>
  <sheetFormatPr baseColWidth="10" defaultColWidth="8.88671875" defaultRowHeight="14.4"/>
  <cols>
    <col min="1" max="1" width="3" customWidth="1"/>
    <col min="2" max="2" width="30" customWidth="1"/>
    <col min="3" max="3" width="50" customWidth="1"/>
  </cols>
  <sheetData>
    <row r="1" spans="1:11">
      <c r="A1" s="1">
        <v>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1.2">
      <c r="A3" s="1"/>
      <c r="B3" s="2" t="s">
        <v>0</v>
      </c>
      <c r="C3" s="1"/>
      <c r="D3" s="1"/>
      <c r="E3" s="1"/>
      <c r="F3" s="1"/>
      <c r="G3" s="1"/>
      <c r="H3" s="1"/>
      <c r="I3" s="1"/>
      <c r="J3" s="1"/>
      <c r="K3" s="1"/>
    </row>
    <row r="4" spans="1:11" ht="18">
      <c r="A4" s="1"/>
      <c r="B4" s="3" t="s">
        <v>1</v>
      </c>
      <c r="C4" s="1"/>
      <c r="D4" s="1"/>
      <c r="E4" s="1"/>
      <c r="F4" s="1"/>
      <c r="G4" s="1"/>
      <c r="H4" s="1"/>
      <c r="I4" s="1"/>
      <c r="J4" s="1"/>
      <c r="K4" s="1"/>
    </row>
    <row r="5" spans="1:11">
      <c r="A5" s="1"/>
      <c r="B5" s="4" t="s">
        <v>2</v>
      </c>
      <c r="C5" s="1"/>
      <c r="D5" s="1"/>
      <c r="E5" s="1"/>
      <c r="F5" s="1"/>
      <c r="G5" s="1"/>
      <c r="H5" s="1"/>
      <c r="I5" s="1"/>
      <c r="J5" s="1"/>
      <c r="K5" s="1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10" spans="1:11">
      <c r="B10" s="5" t="s">
        <v>3</v>
      </c>
    </row>
    <row r="12" spans="1:11">
      <c r="B12" s="6" t="s">
        <v>4</v>
      </c>
      <c r="C12" s="7" t="s">
        <v>5</v>
      </c>
    </row>
    <row r="13" spans="1:11">
      <c r="B13" s="6" t="s">
        <v>6</v>
      </c>
      <c r="C13" s="7" t="s">
        <v>7</v>
      </c>
    </row>
    <row r="14" spans="1:11">
      <c r="B14" s="6" t="s">
        <v>8</v>
      </c>
      <c r="C14" s="7" t="s">
        <v>9</v>
      </c>
    </row>
    <row r="15" spans="1:11">
      <c r="B15" s="6" t="s">
        <v>10</v>
      </c>
      <c r="C15" s="7" t="s">
        <v>11</v>
      </c>
    </row>
    <row r="16" spans="1:11">
      <c r="B16" s="6" t="s">
        <v>12</v>
      </c>
      <c r="C16" s="7" t="s">
        <v>13</v>
      </c>
    </row>
    <row r="17" spans="2:3">
      <c r="B17" s="6" t="s">
        <v>14</v>
      </c>
      <c r="C17" s="7">
        <v>656</v>
      </c>
    </row>
    <row r="18" spans="2:3">
      <c r="B18" s="6" t="s">
        <v>15</v>
      </c>
      <c r="C18" s="7" t="s">
        <v>16</v>
      </c>
    </row>
    <row r="19" spans="2:3">
      <c r="B19" s="6" t="s">
        <v>17</v>
      </c>
      <c r="C19" s="7">
        <v>1</v>
      </c>
    </row>
    <row r="22" spans="2:3">
      <c r="B22" s="5" t="s">
        <v>18</v>
      </c>
    </row>
    <row r="24" spans="2:3">
      <c r="B24" s="8" t="s">
        <v>19</v>
      </c>
      <c r="C24" s="9">
        <f>Resumen!C5</f>
        <v>2889163638.1466856</v>
      </c>
    </row>
    <row r="25" spans="2:3">
      <c r="B25" s="8" t="s">
        <v>20</v>
      </c>
      <c r="C25" s="9">
        <f>Resumen!C6</f>
        <v>751182545.91813827</v>
      </c>
    </row>
    <row r="26" spans="2:3">
      <c r="B26" s="8" t="s">
        <v>21</v>
      </c>
      <c r="C26" s="9">
        <f>Resumen!C7</f>
        <v>1237000000</v>
      </c>
    </row>
    <row r="27" spans="2:3">
      <c r="B27" s="8" t="s">
        <v>22</v>
      </c>
      <c r="C27" s="10">
        <f>Resumen!C13</f>
        <v>1237000000</v>
      </c>
    </row>
    <row r="28" spans="2:3">
      <c r="B28" s="8" t="s">
        <v>23</v>
      </c>
      <c r="C28" s="9">
        <f>Resumen!C9</f>
        <v>-1602163638.1466856</v>
      </c>
    </row>
    <row r="29" spans="2:3">
      <c r="B29" s="8" t="s">
        <v>24</v>
      </c>
      <c r="C29" s="9">
        <f>Resumen!C14</f>
        <v>0.91</v>
      </c>
    </row>
    <row r="33" spans="2:8">
      <c r="B33" s="370" t="s">
        <v>25</v>
      </c>
      <c r="C33" s="371"/>
      <c r="D33" s="371"/>
      <c r="E33" s="371"/>
      <c r="F33" s="371"/>
      <c r="G33" s="371"/>
      <c r="H33" s="371"/>
    </row>
    <row r="34" spans="2:8">
      <c r="B34" s="371"/>
      <c r="C34" s="371"/>
      <c r="D34" s="371"/>
      <c r="E34" s="371"/>
      <c r="F34" s="371"/>
      <c r="G34" s="371"/>
      <c r="H34" s="371"/>
    </row>
  </sheetData>
  <mergeCells count="1">
    <mergeCell ref="B33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8EA9-E072-4039-8067-F553A60C4E59}">
  <dimension ref="A1:Z1210"/>
  <sheetViews>
    <sheetView workbookViewId="0">
      <pane ySplit="3" topLeftCell="A12" activePane="bottomLeft" state="frozen"/>
      <selection pane="bottomLeft" activeCell="A16" sqref="A16:C16"/>
    </sheetView>
  </sheetViews>
  <sheetFormatPr baseColWidth="10" defaultColWidth="14" defaultRowHeight="15" customHeight="1"/>
  <cols>
    <col min="1" max="1" width="13" style="58" customWidth="1"/>
    <col min="2" max="2" width="9.109375" style="58" customWidth="1"/>
    <col min="3" max="3" width="75.5546875" style="58" customWidth="1"/>
    <col min="4" max="4" width="10.21875" style="58" customWidth="1"/>
    <col min="5" max="5" width="36.88671875" style="58" customWidth="1"/>
    <col min="6" max="7" width="11.88671875" style="188" customWidth="1"/>
    <col min="8" max="8" width="24.109375" style="58" customWidth="1"/>
    <col min="9" max="9" width="22.21875" style="58" customWidth="1"/>
    <col min="10" max="10" width="13.88671875" style="58" customWidth="1"/>
    <col min="11" max="11" width="4.6640625" style="58" customWidth="1"/>
    <col min="12" max="26" width="11.77734375" style="58" customWidth="1"/>
    <col min="27" max="16384" width="14" style="58"/>
  </cols>
  <sheetData>
    <row r="1" spans="1:11" ht="30" customHeight="1">
      <c r="A1" s="372" t="s">
        <v>156</v>
      </c>
      <c r="B1" s="373"/>
      <c r="C1" s="373"/>
      <c r="D1" s="373"/>
      <c r="E1" s="373"/>
      <c r="F1" s="373"/>
      <c r="G1" s="373"/>
      <c r="H1" s="373"/>
      <c r="I1" s="373"/>
      <c r="J1" s="373"/>
      <c r="K1" s="373"/>
    </row>
    <row r="2" spans="1:11" ht="21.75" customHeight="1">
      <c r="A2" s="374" t="s">
        <v>157</v>
      </c>
      <c r="B2" s="373"/>
      <c r="C2" s="373"/>
      <c r="D2" s="373"/>
      <c r="E2" s="373"/>
      <c r="F2" s="373"/>
      <c r="G2" s="373"/>
      <c r="H2" s="373"/>
      <c r="I2" s="373"/>
      <c r="J2" s="373"/>
      <c r="K2" s="373"/>
    </row>
    <row r="3" spans="1:11" ht="24" customHeight="1" thickBot="1">
      <c r="A3" s="59" t="s">
        <v>158</v>
      </c>
      <c r="B3" s="60" t="s">
        <v>159</v>
      </c>
      <c r="C3" s="61" t="s">
        <v>160</v>
      </c>
      <c r="D3" s="60" t="s">
        <v>161</v>
      </c>
      <c r="E3" s="62" t="s">
        <v>162</v>
      </c>
      <c r="F3" s="63" t="s">
        <v>163</v>
      </c>
      <c r="G3" s="63" t="s">
        <v>164</v>
      </c>
      <c r="H3" s="60" t="s">
        <v>165</v>
      </c>
      <c r="I3" s="60" t="s">
        <v>166</v>
      </c>
      <c r="J3" s="60" t="s">
        <v>167</v>
      </c>
      <c r="K3" s="64" t="s">
        <v>168</v>
      </c>
    </row>
    <row r="4" spans="1:11" ht="25.5" customHeight="1">
      <c r="A4" s="65" t="s">
        <v>169</v>
      </c>
      <c r="B4" s="66">
        <v>0</v>
      </c>
      <c r="C4" s="65" t="s">
        <v>170</v>
      </c>
      <c r="D4" s="66" t="s">
        <v>171</v>
      </c>
      <c r="E4" s="67" t="s">
        <v>172</v>
      </c>
      <c r="F4" s="68">
        <f>[1]CONFIGURACIÓN!$B$4+0</f>
        <v>46174</v>
      </c>
      <c r="G4" s="68">
        <f>[1]CONFIGURACIÓN!$B$4+13</f>
        <v>46187</v>
      </c>
      <c r="H4" s="65" t="s">
        <v>173</v>
      </c>
      <c r="I4" s="69"/>
      <c r="J4" s="69"/>
      <c r="K4" s="69"/>
    </row>
    <row r="5" spans="1:11" ht="19.5" customHeight="1">
      <c r="A5" s="70" t="s">
        <v>174</v>
      </c>
      <c r="B5" s="71">
        <v>0.1</v>
      </c>
      <c r="C5" s="72" t="s">
        <v>175</v>
      </c>
      <c r="D5" s="71" t="s">
        <v>176</v>
      </c>
      <c r="E5" s="72" t="s">
        <v>177</v>
      </c>
      <c r="F5" s="73">
        <v>46082</v>
      </c>
      <c r="G5" s="73">
        <v>46091</v>
      </c>
      <c r="H5" s="72" t="s">
        <v>178</v>
      </c>
      <c r="I5" s="72"/>
      <c r="J5" s="72" t="s">
        <v>179</v>
      </c>
      <c r="K5" s="72"/>
    </row>
    <row r="6" spans="1:11" ht="19.5" customHeight="1">
      <c r="A6" s="74" t="s">
        <v>180</v>
      </c>
      <c r="B6" s="71">
        <v>0.2</v>
      </c>
      <c r="C6" s="72" t="s">
        <v>181</v>
      </c>
      <c r="D6" s="71" t="s">
        <v>182</v>
      </c>
      <c r="E6" s="72" t="s">
        <v>183</v>
      </c>
      <c r="F6" s="73">
        <v>46092</v>
      </c>
      <c r="G6" s="73">
        <v>46096</v>
      </c>
      <c r="H6" s="72" t="s">
        <v>184</v>
      </c>
      <c r="I6" s="72" t="s">
        <v>174</v>
      </c>
      <c r="J6" s="72" t="s">
        <v>179</v>
      </c>
      <c r="K6" s="72"/>
    </row>
    <row r="7" spans="1:11" ht="19.5" customHeight="1">
      <c r="A7" s="75" t="s">
        <v>185</v>
      </c>
      <c r="B7" s="71">
        <v>0.3</v>
      </c>
      <c r="C7" s="72" t="s">
        <v>186</v>
      </c>
      <c r="D7" s="71" t="s">
        <v>182</v>
      </c>
      <c r="E7" s="72" t="s">
        <v>187</v>
      </c>
      <c r="F7" s="73">
        <v>46092</v>
      </c>
      <c r="G7" s="73">
        <v>46096</v>
      </c>
      <c r="H7" s="72" t="s">
        <v>173</v>
      </c>
      <c r="I7" s="72" t="s">
        <v>174</v>
      </c>
      <c r="J7" s="72" t="s">
        <v>179</v>
      </c>
      <c r="K7" s="72"/>
    </row>
    <row r="8" spans="1:11" ht="19.5" customHeight="1">
      <c r="A8" s="76" t="s">
        <v>188</v>
      </c>
      <c r="B8" s="71">
        <v>0.4</v>
      </c>
      <c r="C8" s="72" t="s">
        <v>189</v>
      </c>
      <c r="D8" s="71" t="s">
        <v>176</v>
      </c>
      <c r="E8" s="72" t="s">
        <v>190</v>
      </c>
      <c r="F8" s="73">
        <v>46082</v>
      </c>
      <c r="G8" s="73">
        <v>46091</v>
      </c>
      <c r="H8" s="72" t="s">
        <v>173</v>
      </c>
      <c r="I8" s="72" t="s">
        <v>174</v>
      </c>
      <c r="J8" s="72" t="s">
        <v>179</v>
      </c>
      <c r="K8" s="72"/>
    </row>
    <row r="9" spans="1:11" ht="19.5" customHeight="1">
      <c r="A9" s="70" t="s">
        <v>191</v>
      </c>
      <c r="B9" s="71">
        <v>0.5</v>
      </c>
      <c r="C9" s="72" t="s">
        <v>192</v>
      </c>
      <c r="D9" s="71" t="s">
        <v>193</v>
      </c>
      <c r="E9" s="72" t="s">
        <v>194</v>
      </c>
      <c r="F9" s="73">
        <v>46082</v>
      </c>
      <c r="G9" s="73">
        <v>46089</v>
      </c>
      <c r="H9" s="72" t="s">
        <v>195</v>
      </c>
      <c r="I9" s="72" t="s">
        <v>188</v>
      </c>
      <c r="J9" s="72" t="s">
        <v>179</v>
      </c>
      <c r="K9" s="72"/>
    </row>
    <row r="10" spans="1:11" ht="33" customHeight="1">
      <c r="A10" s="74" t="s">
        <v>196</v>
      </c>
      <c r="B10" s="77">
        <v>0.6</v>
      </c>
      <c r="C10" s="78" t="s">
        <v>197</v>
      </c>
      <c r="D10" s="71" t="s">
        <v>193</v>
      </c>
      <c r="E10" s="72" t="s">
        <v>198</v>
      </c>
      <c r="F10" s="73">
        <v>46082</v>
      </c>
      <c r="G10" s="73">
        <v>46089</v>
      </c>
      <c r="H10" s="72" t="s">
        <v>199</v>
      </c>
      <c r="I10" s="72" t="s">
        <v>188</v>
      </c>
      <c r="J10" s="72" t="s">
        <v>179</v>
      </c>
      <c r="K10" s="72"/>
    </row>
    <row r="11" spans="1:11" ht="19.5" customHeight="1">
      <c r="A11" s="70" t="s">
        <v>200</v>
      </c>
      <c r="B11" s="71">
        <v>0.7</v>
      </c>
      <c r="C11" s="72" t="s">
        <v>201</v>
      </c>
      <c r="D11" s="71" t="s">
        <v>202</v>
      </c>
      <c r="E11" s="72" t="s">
        <v>203</v>
      </c>
      <c r="F11" s="73">
        <v>46082</v>
      </c>
      <c r="G11" s="73">
        <v>46096</v>
      </c>
      <c r="H11" s="72" t="s">
        <v>204</v>
      </c>
      <c r="I11" s="72" t="s">
        <v>174</v>
      </c>
      <c r="J11" s="72" t="s">
        <v>179</v>
      </c>
      <c r="K11" s="72"/>
    </row>
    <row r="12" spans="1:11" ht="19.5" customHeight="1">
      <c r="A12" s="74" t="s">
        <v>205</v>
      </c>
      <c r="B12" s="71">
        <v>0.8</v>
      </c>
      <c r="C12" s="72" t="s">
        <v>206</v>
      </c>
      <c r="D12" s="71" t="s">
        <v>182</v>
      </c>
      <c r="E12" s="72" t="s">
        <v>207</v>
      </c>
      <c r="F12" s="73">
        <v>46092</v>
      </c>
      <c r="G12" s="73">
        <v>46096</v>
      </c>
      <c r="H12" s="72" t="s">
        <v>208</v>
      </c>
      <c r="I12" s="72" t="s">
        <v>188</v>
      </c>
      <c r="J12" s="72" t="s">
        <v>179</v>
      </c>
      <c r="K12" s="72"/>
    </row>
    <row r="13" spans="1:11" ht="19.5" customHeight="1">
      <c r="A13" s="70" t="s">
        <v>209</v>
      </c>
      <c r="B13" s="71">
        <v>0.9</v>
      </c>
      <c r="C13" s="72" t="s">
        <v>210</v>
      </c>
      <c r="D13" s="71" t="s">
        <v>182</v>
      </c>
      <c r="E13" s="72" t="s">
        <v>211</v>
      </c>
      <c r="F13" s="73">
        <v>46090</v>
      </c>
      <c r="G13" s="73">
        <v>46094</v>
      </c>
      <c r="H13" s="72" t="s">
        <v>184</v>
      </c>
      <c r="I13" s="72" t="s">
        <v>191</v>
      </c>
      <c r="J13" s="72" t="s">
        <v>179</v>
      </c>
      <c r="K13" s="72"/>
    </row>
    <row r="14" spans="1:11" ht="19.5" customHeight="1">
      <c r="A14" s="74" t="s">
        <v>212</v>
      </c>
      <c r="B14" s="71">
        <v>0.1</v>
      </c>
      <c r="C14" s="72" t="s">
        <v>213</v>
      </c>
      <c r="D14" s="71" t="s">
        <v>176</v>
      </c>
      <c r="E14" s="72" t="s">
        <v>214</v>
      </c>
      <c r="F14" s="73">
        <v>46090</v>
      </c>
      <c r="G14" s="73">
        <v>46099</v>
      </c>
      <c r="H14" s="72" t="s">
        <v>173</v>
      </c>
      <c r="I14" s="72" t="s">
        <v>191</v>
      </c>
      <c r="J14" s="72" t="s">
        <v>179</v>
      </c>
      <c r="K14" s="72"/>
    </row>
    <row r="15" spans="1:11" ht="19.5" customHeight="1">
      <c r="A15" s="74" t="s">
        <v>215</v>
      </c>
      <c r="B15" s="71">
        <v>0.11</v>
      </c>
      <c r="C15" s="72" t="s">
        <v>216</v>
      </c>
      <c r="D15" s="71" t="s">
        <v>182</v>
      </c>
      <c r="E15" s="72" t="s">
        <v>217</v>
      </c>
      <c r="F15" s="73">
        <v>46100</v>
      </c>
      <c r="G15" s="73">
        <v>46104</v>
      </c>
      <c r="H15" s="72" t="s">
        <v>218</v>
      </c>
      <c r="I15" s="72" t="s">
        <v>212</v>
      </c>
      <c r="J15" s="72" t="s">
        <v>179</v>
      </c>
      <c r="K15" s="72"/>
    </row>
    <row r="16" spans="1:11" ht="19.5" customHeight="1">
      <c r="A16" s="74" t="s">
        <v>219</v>
      </c>
      <c r="B16" s="71">
        <v>0.12</v>
      </c>
      <c r="C16" s="72" t="s">
        <v>220</v>
      </c>
      <c r="D16" s="71" t="s">
        <v>221</v>
      </c>
      <c r="E16" s="72" t="s">
        <v>222</v>
      </c>
      <c r="F16" s="73">
        <v>46105</v>
      </c>
      <c r="G16" s="73">
        <v>46107</v>
      </c>
      <c r="H16" s="72" t="s">
        <v>223</v>
      </c>
      <c r="I16" s="72" t="s">
        <v>215</v>
      </c>
      <c r="J16" s="72" t="s">
        <v>179</v>
      </c>
      <c r="K16" s="72"/>
    </row>
    <row r="17" spans="1:11" ht="19.5" customHeight="1">
      <c r="A17" s="74" t="s">
        <v>224</v>
      </c>
      <c r="B17" s="71">
        <v>0.13</v>
      </c>
      <c r="C17" s="72" t="s">
        <v>225</v>
      </c>
      <c r="D17" s="71" t="s">
        <v>226</v>
      </c>
      <c r="E17" s="72" t="s">
        <v>227</v>
      </c>
      <c r="F17" s="73">
        <v>46108</v>
      </c>
      <c r="G17" s="73">
        <v>46109</v>
      </c>
      <c r="H17" s="72" t="s">
        <v>223</v>
      </c>
      <c r="I17" s="72" t="s">
        <v>219</v>
      </c>
      <c r="J17" s="72" t="s">
        <v>179</v>
      </c>
      <c r="K17" s="72"/>
    </row>
    <row r="18" spans="1:11" ht="19.5" customHeight="1">
      <c r="A18" s="74" t="s">
        <v>228</v>
      </c>
      <c r="B18" s="71">
        <v>0.14000000000000001</v>
      </c>
      <c r="C18" s="72" t="s">
        <v>229</v>
      </c>
      <c r="D18" s="71" t="s">
        <v>226</v>
      </c>
      <c r="E18" s="72" t="s">
        <v>230</v>
      </c>
      <c r="F18" s="73">
        <v>46110</v>
      </c>
      <c r="G18" s="73">
        <v>46111</v>
      </c>
      <c r="H18" s="72" t="s">
        <v>231</v>
      </c>
      <c r="I18" s="72" t="s">
        <v>215</v>
      </c>
      <c r="J18" s="72" t="s">
        <v>179</v>
      </c>
      <c r="K18" s="72"/>
    </row>
    <row r="19" spans="1:11" ht="19.5" customHeight="1">
      <c r="A19" s="79" t="s">
        <v>232</v>
      </c>
      <c r="B19" s="80" t="s">
        <v>233</v>
      </c>
      <c r="C19" s="79" t="s">
        <v>234</v>
      </c>
      <c r="D19" s="80" t="s">
        <v>235</v>
      </c>
      <c r="E19" s="72" t="s">
        <v>236</v>
      </c>
      <c r="F19" s="73">
        <v>46142</v>
      </c>
      <c r="G19" s="73">
        <v>46142</v>
      </c>
      <c r="H19" s="81" t="s">
        <v>173</v>
      </c>
      <c r="I19" s="81" t="s">
        <v>237</v>
      </c>
      <c r="J19" s="81" t="s">
        <v>238</v>
      </c>
      <c r="K19" s="72"/>
    </row>
    <row r="20" spans="1:11" ht="19.5" customHeight="1">
      <c r="A20" s="65" t="s">
        <v>124</v>
      </c>
      <c r="B20" s="66">
        <v>1</v>
      </c>
      <c r="C20" s="65" t="s">
        <v>239</v>
      </c>
      <c r="D20" s="66" t="s">
        <v>202</v>
      </c>
      <c r="E20" s="72" t="s">
        <v>240</v>
      </c>
      <c r="F20" s="73">
        <f>[1]CONFIGURACIÓN!$B$4+15</f>
        <v>46189</v>
      </c>
      <c r="G20" s="73">
        <f>[1]CONFIGURACIÓN!$B$4+28</f>
        <v>46202</v>
      </c>
      <c r="H20" s="65" t="s">
        <v>184</v>
      </c>
      <c r="I20" s="65" t="s">
        <v>241</v>
      </c>
      <c r="J20" s="72"/>
      <c r="K20" s="72"/>
    </row>
    <row r="21" spans="1:11" ht="19.5" customHeight="1">
      <c r="A21" s="70" t="s">
        <v>242</v>
      </c>
      <c r="B21" s="71">
        <v>1.1000000000000001</v>
      </c>
      <c r="C21" s="72" t="s">
        <v>243</v>
      </c>
      <c r="D21" s="71" t="s">
        <v>221</v>
      </c>
      <c r="E21" s="72" t="s">
        <v>244</v>
      </c>
      <c r="F21" s="73">
        <v>46143</v>
      </c>
      <c r="G21" s="73">
        <v>46145</v>
      </c>
      <c r="H21" s="72" t="s">
        <v>218</v>
      </c>
      <c r="I21" s="72" t="s">
        <v>241</v>
      </c>
      <c r="J21" s="72"/>
      <c r="K21" s="72"/>
    </row>
    <row r="22" spans="1:11" ht="19.5" customHeight="1">
      <c r="A22" s="70" t="s">
        <v>245</v>
      </c>
      <c r="B22" s="71">
        <v>1.2</v>
      </c>
      <c r="C22" s="72" t="s">
        <v>246</v>
      </c>
      <c r="D22" s="71" t="s">
        <v>182</v>
      </c>
      <c r="E22" s="72" t="s">
        <v>247</v>
      </c>
      <c r="F22" s="73">
        <v>46146</v>
      </c>
      <c r="G22" s="73">
        <v>46150</v>
      </c>
      <c r="H22" s="72" t="s">
        <v>248</v>
      </c>
      <c r="I22" s="72" t="s">
        <v>242</v>
      </c>
      <c r="J22" s="72"/>
      <c r="K22" s="72"/>
    </row>
    <row r="23" spans="1:11" ht="25.5" customHeight="1">
      <c r="A23" s="70" t="s">
        <v>249</v>
      </c>
      <c r="B23" s="71">
        <v>1.3</v>
      </c>
      <c r="C23" s="72" t="s">
        <v>250</v>
      </c>
      <c r="D23" s="71" t="s">
        <v>221</v>
      </c>
      <c r="E23" s="72" t="s">
        <v>251</v>
      </c>
      <c r="F23" s="73">
        <v>46151</v>
      </c>
      <c r="G23" s="73">
        <v>46153</v>
      </c>
      <c r="H23" s="72" t="s">
        <v>218</v>
      </c>
      <c r="I23" s="72" t="s">
        <v>245</v>
      </c>
      <c r="J23" s="72"/>
      <c r="K23" s="72"/>
    </row>
    <row r="24" spans="1:11" ht="19.5" customHeight="1">
      <c r="A24" s="70" t="s">
        <v>253</v>
      </c>
      <c r="B24" s="71">
        <v>1.5</v>
      </c>
      <c r="C24" s="72" t="s">
        <v>254</v>
      </c>
      <c r="D24" s="71" t="s">
        <v>255</v>
      </c>
      <c r="E24" s="72" t="s">
        <v>256</v>
      </c>
      <c r="F24" s="73">
        <v>46156</v>
      </c>
      <c r="G24" s="73">
        <v>46156</v>
      </c>
      <c r="H24" s="72" t="s">
        <v>257</v>
      </c>
      <c r="I24" s="72" t="s">
        <v>245</v>
      </c>
      <c r="J24" s="72"/>
      <c r="K24" s="72"/>
    </row>
    <row r="25" spans="1:11" ht="19.5" customHeight="1">
      <c r="A25" s="79" t="s">
        <v>258</v>
      </c>
      <c r="B25" s="80" t="s">
        <v>259</v>
      </c>
      <c r="C25" s="79" t="s">
        <v>260</v>
      </c>
      <c r="D25" s="80" t="s">
        <v>235</v>
      </c>
      <c r="E25" s="72" t="s">
        <v>236</v>
      </c>
      <c r="F25" s="73">
        <v>46157</v>
      </c>
      <c r="G25" s="73">
        <v>46157</v>
      </c>
      <c r="H25" s="81" t="s">
        <v>261</v>
      </c>
      <c r="I25" s="81" t="s">
        <v>253</v>
      </c>
      <c r="J25" s="81" t="s">
        <v>238</v>
      </c>
      <c r="K25" s="72"/>
    </row>
    <row r="26" spans="1:11" ht="19.5" customHeight="1">
      <c r="A26" s="65" t="s">
        <v>119</v>
      </c>
      <c r="B26" s="66" t="s">
        <v>262</v>
      </c>
      <c r="C26" s="65" t="s">
        <v>263</v>
      </c>
      <c r="D26" s="66" t="s">
        <v>193</v>
      </c>
      <c r="E26" s="72" t="s">
        <v>264</v>
      </c>
      <c r="F26" s="73">
        <f>[1]CONFIGURACIÓN!$B$4+30</f>
        <v>46204</v>
      </c>
      <c r="G26" s="73">
        <f>[1]CONFIGURACIÓN!$B$4+53</f>
        <v>46227</v>
      </c>
      <c r="H26" s="65" t="s">
        <v>265</v>
      </c>
      <c r="I26" s="65" t="s">
        <v>266</v>
      </c>
      <c r="J26" s="72"/>
      <c r="K26" s="72"/>
    </row>
    <row r="27" spans="1:11" ht="19.5" customHeight="1">
      <c r="A27" s="70" t="s">
        <v>267</v>
      </c>
      <c r="B27" s="71">
        <v>2.1</v>
      </c>
      <c r="C27" s="72" t="s">
        <v>268</v>
      </c>
      <c r="D27" s="71" t="s">
        <v>221</v>
      </c>
      <c r="E27" s="72" t="s">
        <v>269</v>
      </c>
      <c r="F27" s="73">
        <v>46158</v>
      </c>
      <c r="G27" s="73">
        <v>46160</v>
      </c>
      <c r="H27" s="72" t="s">
        <v>218</v>
      </c>
      <c r="I27" s="72" t="s">
        <v>266</v>
      </c>
      <c r="J27" s="72"/>
      <c r="K27" s="72"/>
    </row>
    <row r="28" spans="1:11" ht="19.5" customHeight="1">
      <c r="A28" s="70" t="s">
        <v>270</v>
      </c>
      <c r="B28" s="71">
        <v>2.2000000000000002</v>
      </c>
      <c r="C28" s="72" t="s">
        <v>271</v>
      </c>
      <c r="D28" s="71" t="s">
        <v>221</v>
      </c>
      <c r="E28" s="72" t="s">
        <v>272</v>
      </c>
      <c r="F28" s="73">
        <v>46158</v>
      </c>
      <c r="G28" s="73">
        <v>46160</v>
      </c>
      <c r="H28" s="72" t="s">
        <v>273</v>
      </c>
      <c r="I28" s="72" t="s">
        <v>266</v>
      </c>
      <c r="J28" s="72"/>
      <c r="K28" s="72"/>
    </row>
    <row r="29" spans="1:11" ht="19.5" customHeight="1">
      <c r="A29" s="70" t="s">
        <v>274</v>
      </c>
      <c r="B29" s="71">
        <v>2.2999999999999998</v>
      </c>
      <c r="C29" s="72" t="s">
        <v>275</v>
      </c>
      <c r="D29" s="71" t="s">
        <v>226</v>
      </c>
      <c r="E29" s="72" t="s">
        <v>276</v>
      </c>
      <c r="F29" s="73">
        <v>46161</v>
      </c>
      <c r="G29" s="73">
        <v>46162</v>
      </c>
      <c r="H29" s="72" t="s">
        <v>218</v>
      </c>
      <c r="I29" s="72" t="s">
        <v>266</v>
      </c>
      <c r="J29" s="72"/>
      <c r="K29" s="72"/>
    </row>
    <row r="30" spans="1:11" ht="19.5" customHeight="1">
      <c r="A30" s="70" t="s">
        <v>277</v>
      </c>
      <c r="B30" s="71">
        <v>2.4</v>
      </c>
      <c r="C30" s="72" t="s">
        <v>278</v>
      </c>
      <c r="D30" s="71" t="s">
        <v>255</v>
      </c>
      <c r="E30" s="72" t="s">
        <v>279</v>
      </c>
      <c r="F30" s="73">
        <v>46163</v>
      </c>
      <c r="G30" s="73">
        <v>46163</v>
      </c>
      <c r="H30" s="72" t="s">
        <v>280</v>
      </c>
      <c r="I30" s="72" t="s">
        <v>274</v>
      </c>
      <c r="J30" s="72"/>
      <c r="K30" s="72"/>
    </row>
    <row r="31" spans="1:11" ht="19.5" customHeight="1">
      <c r="A31" s="79" t="s">
        <v>281</v>
      </c>
      <c r="B31" s="80" t="s">
        <v>282</v>
      </c>
      <c r="C31" s="79" t="s">
        <v>283</v>
      </c>
      <c r="D31" s="80" t="s">
        <v>235</v>
      </c>
      <c r="E31" s="72" t="s">
        <v>236</v>
      </c>
      <c r="F31" s="73">
        <v>46165</v>
      </c>
      <c r="G31" s="73">
        <v>46165</v>
      </c>
      <c r="H31" s="81" t="s">
        <v>184</v>
      </c>
      <c r="I31" s="81" t="s">
        <v>277</v>
      </c>
      <c r="J31" s="81" t="s">
        <v>238</v>
      </c>
      <c r="K31" s="72"/>
    </row>
    <row r="32" spans="1:11" ht="19.5" customHeight="1">
      <c r="A32" s="82" t="s">
        <v>284</v>
      </c>
      <c r="B32" s="83">
        <v>3</v>
      </c>
      <c r="C32" s="82" t="s">
        <v>285</v>
      </c>
      <c r="D32" s="83" t="s">
        <v>286</v>
      </c>
      <c r="E32" s="72" t="s">
        <v>287</v>
      </c>
      <c r="F32" s="73">
        <f>[1]CONFIGURACIÓN!$B$4+55</f>
        <v>46229</v>
      </c>
      <c r="G32" s="73">
        <f>[1]CONFIGURACIÓN!$B$4+137</f>
        <v>46311</v>
      </c>
      <c r="H32" s="82" t="s">
        <v>195</v>
      </c>
      <c r="I32" s="82" t="s">
        <v>288</v>
      </c>
      <c r="J32" s="72"/>
      <c r="K32" s="72"/>
    </row>
    <row r="33" spans="1:11" ht="19.5" customHeight="1">
      <c r="A33" s="70" t="s">
        <v>289</v>
      </c>
      <c r="B33" s="71">
        <v>3.1</v>
      </c>
      <c r="C33" s="72" t="s">
        <v>290</v>
      </c>
      <c r="D33" s="71" t="s">
        <v>255</v>
      </c>
      <c r="E33" s="72" t="s">
        <v>291</v>
      </c>
      <c r="F33" s="73">
        <v>46166</v>
      </c>
      <c r="G33" s="73">
        <v>46166</v>
      </c>
      <c r="H33" s="72" t="s">
        <v>223</v>
      </c>
      <c r="I33" s="72" t="s">
        <v>288</v>
      </c>
      <c r="J33" s="72"/>
      <c r="K33" s="72"/>
    </row>
    <row r="34" spans="1:11" ht="19.5" customHeight="1">
      <c r="A34" s="70" t="s">
        <v>292</v>
      </c>
      <c r="B34" s="71">
        <v>3.2</v>
      </c>
      <c r="C34" s="72" t="s">
        <v>293</v>
      </c>
      <c r="D34" s="71" t="s">
        <v>255</v>
      </c>
      <c r="E34" s="72" t="s">
        <v>294</v>
      </c>
      <c r="F34" s="73">
        <v>46167</v>
      </c>
      <c r="G34" s="73">
        <v>46167</v>
      </c>
      <c r="H34" s="72" t="s">
        <v>295</v>
      </c>
      <c r="I34" s="72" t="s">
        <v>289</v>
      </c>
      <c r="J34" s="72"/>
      <c r="K34" s="72"/>
    </row>
    <row r="35" spans="1:11" ht="25.5" customHeight="1">
      <c r="A35" s="70" t="s">
        <v>296</v>
      </c>
      <c r="B35" s="71">
        <v>3.3</v>
      </c>
      <c r="C35" s="72" t="s">
        <v>297</v>
      </c>
      <c r="D35" s="71" t="s">
        <v>193</v>
      </c>
      <c r="E35" s="72" t="s">
        <v>298</v>
      </c>
      <c r="F35" s="73">
        <v>46168</v>
      </c>
      <c r="G35" s="73">
        <v>46175</v>
      </c>
      <c r="H35" s="72" t="s">
        <v>295</v>
      </c>
      <c r="I35" s="72" t="s">
        <v>292</v>
      </c>
      <c r="J35" s="72"/>
      <c r="K35" s="72"/>
    </row>
    <row r="36" spans="1:11" ht="19.5" customHeight="1">
      <c r="A36" s="70" t="s">
        <v>299</v>
      </c>
      <c r="B36" s="71">
        <v>3.4</v>
      </c>
      <c r="C36" s="72" t="s">
        <v>300</v>
      </c>
      <c r="D36" s="71" t="s">
        <v>182</v>
      </c>
      <c r="E36" s="72" t="s">
        <v>301</v>
      </c>
      <c r="F36" s="73">
        <v>46176</v>
      </c>
      <c r="G36" s="73">
        <v>46180</v>
      </c>
      <c r="H36" s="72" t="s">
        <v>302</v>
      </c>
      <c r="I36" s="72" t="s">
        <v>296</v>
      </c>
      <c r="J36" s="72"/>
      <c r="K36" s="72"/>
    </row>
    <row r="37" spans="1:11" ht="19.5" customHeight="1">
      <c r="A37" s="70" t="s">
        <v>303</v>
      </c>
      <c r="B37" s="71">
        <v>3.5</v>
      </c>
      <c r="C37" s="72" t="s">
        <v>304</v>
      </c>
      <c r="D37" s="71" t="s">
        <v>182</v>
      </c>
      <c r="E37" s="72" t="s">
        <v>305</v>
      </c>
      <c r="F37" s="73">
        <v>46181</v>
      </c>
      <c r="G37" s="73">
        <v>46185</v>
      </c>
      <c r="H37" s="72" t="s">
        <v>306</v>
      </c>
      <c r="I37" s="72" t="s">
        <v>299</v>
      </c>
      <c r="J37" s="72"/>
      <c r="K37" s="72"/>
    </row>
    <row r="38" spans="1:11" ht="19.5" customHeight="1">
      <c r="A38" s="70" t="s">
        <v>307</v>
      </c>
      <c r="B38" s="71">
        <v>3.6</v>
      </c>
      <c r="C38" s="72" t="s">
        <v>308</v>
      </c>
      <c r="D38" s="71" t="s">
        <v>309</v>
      </c>
      <c r="E38" s="72" t="s">
        <v>310</v>
      </c>
      <c r="F38" s="73">
        <v>46186</v>
      </c>
      <c r="G38" s="73">
        <v>46192</v>
      </c>
      <c r="H38" s="72" t="s">
        <v>218</v>
      </c>
      <c r="I38" s="72" t="s">
        <v>303</v>
      </c>
      <c r="J38" s="72"/>
      <c r="K38" s="72"/>
    </row>
    <row r="39" spans="1:11" ht="19.5" customHeight="1">
      <c r="A39" s="70" t="s">
        <v>311</v>
      </c>
      <c r="B39" s="71">
        <v>3.7</v>
      </c>
      <c r="C39" s="72" t="s">
        <v>312</v>
      </c>
      <c r="D39" s="71" t="s">
        <v>221</v>
      </c>
      <c r="E39" s="72" t="s">
        <v>313</v>
      </c>
      <c r="F39" s="73">
        <v>46190</v>
      </c>
      <c r="G39" s="73">
        <v>46192</v>
      </c>
      <c r="H39" s="72" t="s">
        <v>314</v>
      </c>
      <c r="I39" s="72" t="s">
        <v>307</v>
      </c>
      <c r="J39" s="72"/>
      <c r="K39" s="72"/>
    </row>
    <row r="40" spans="1:11" ht="19.5" customHeight="1">
      <c r="A40" s="70" t="s">
        <v>315</v>
      </c>
      <c r="B40" s="71">
        <v>3.8</v>
      </c>
      <c r="C40" s="72" t="s">
        <v>316</v>
      </c>
      <c r="D40" s="71" t="s">
        <v>221</v>
      </c>
      <c r="E40" s="72" t="s">
        <v>317</v>
      </c>
      <c r="F40" s="73">
        <v>46193</v>
      </c>
      <c r="G40" s="73">
        <v>46195</v>
      </c>
      <c r="H40" s="72" t="s">
        <v>218</v>
      </c>
      <c r="I40" s="72" t="s">
        <v>311</v>
      </c>
      <c r="J40" s="72"/>
      <c r="K40" s="72"/>
    </row>
    <row r="41" spans="1:11" ht="19.5" customHeight="1">
      <c r="A41" s="70" t="s">
        <v>318</v>
      </c>
      <c r="B41" s="71">
        <v>3.9</v>
      </c>
      <c r="C41" s="72" t="s">
        <v>319</v>
      </c>
      <c r="D41" s="71" t="s">
        <v>252</v>
      </c>
      <c r="E41" s="72" t="s">
        <v>320</v>
      </c>
      <c r="F41" s="73">
        <v>46196</v>
      </c>
      <c r="G41" s="73">
        <v>46199</v>
      </c>
      <c r="H41" s="72" t="s">
        <v>302</v>
      </c>
      <c r="I41" s="72" t="s">
        <v>315</v>
      </c>
      <c r="J41" s="72"/>
      <c r="K41" s="72"/>
    </row>
    <row r="42" spans="1:11" ht="19.5" customHeight="1">
      <c r="A42" s="70" t="s">
        <v>321</v>
      </c>
      <c r="B42" s="71">
        <v>3.1</v>
      </c>
      <c r="C42" s="72" t="s">
        <v>322</v>
      </c>
      <c r="D42" s="71" t="s">
        <v>252</v>
      </c>
      <c r="E42" s="72" t="s">
        <v>323</v>
      </c>
      <c r="F42" s="73">
        <v>46196</v>
      </c>
      <c r="G42" s="73">
        <v>46199</v>
      </c>
      <c r="H42" s="72" t="s">
        <v>265</v>
      </c>
      <c r="I42" s="72" t="s">
        <v>318</v>
      </c>
      <c r="J42" s="72"/>
      <c r="K42" s="72"/>
    </row>
    <row r="43" spans="1:11" ht="25.5" customHeight="1">
      <c r="A43" s="70" t="s">
        <v>324</v>
      </c>
      <c r="B43" s="71">
        <v>3.11</v>
      </c>
      <c r="C43" s="72" t="s">
        <v>325</v>
      </c>
      <c r="D43" s="71" t="s">
        <v>221</v>
      </c>
      <c r="E43" s="72" t="s">
        <v>326</v>
      </c>
      <c r="F43" s="73">
        <v>46196</v>
      </c>
      <c r="G43" s="73">
        <v>46198</v>
      </c>
      <c r="H43" s="72" t="s">
        <v>327</v>
      </c>
      <c r="I43" s="72" t="s">
        <v>321</v>
      </c>
      <c r="J43" s="72"/>
      <c r="K43" s="72"/>
    </row>
    <row r="44" spans="1:11" ht="19.5" customHeight="1">
      <c r="A44" s="70" t="s">
        <v>328</v>
      </c>
      <c r="B44" s="71">
        <v>3.12</v>
      </c>
      <c r="C44" s="72" t="s">
        <v>329</v>
      </c>
      <c r="D44" s="71" t="s">
        <v>255</v>
      </c>
      <c r="E44" s="72" t="s">
        <v>330</v>
      </c>
      <c r="F44" s="73">
        <v>46199</v>
      </c>
      <c r="G44" s="73">
        <v>46199</v>
      </c>
      <c r="H44" s="72" t="s">
        <v>261</v>
      </c>
      <c r="I44" s="72" t="s">
        <v>324</v>
      </c>
      <c r="J44" s="72"/>
      <c r="K44" s="72"/>
    </row>
    <row r="45" spans="1:11" ht="19.5" customHeight="1">
      <c r="A45" s="70" t="s">
        <v>331</v>
      </c>
      <c r="B45" s="71">
        <v>3.13</v>
      </c>
      <c r="C45" s="72" t="s">
        <v>332</v>
      </c>
      <c r="D45" s="71" t="s">
        <v>226</v>
      </c>
      <c r="E45" s="72" t="s">
        <v>333</v>
      </c>
      <c r="F45" s="73">
        <v>46199</v>
      </c>
      <c r="G45" s="73">
        <v>46200</v>
      </c>
      <c r="H45" s="72" t="s">
        <v>334</v>
      </c>
      <c r="I45" s="72" t="s">
        <v>328</v>
      </c>
      <c r="J45" s="72"/>
      <c r="K45" s="72"/>
    </row>
    <row r="46" spans="1:11" ht="19.5" customHeight="1">
      <c r="A46" s="70" t="s">
        <v>335</v>
      </c>
      <c r="B46" s="71">
        <v>3.14</v>
      </c>
      <c r="C46" s="72" t="s">
        <v>336</v>
      </c>
      <c r="D46" s="71" t="s">
        <v>255</v>
      </c>
      <c r="E46" s="72" t="s">
        <v>337</v>
      </c>
      <c r="F46" s="73">
        <v>46199</v>
      </c>
      <c r="G46" s="73">
        <v>46199</v>
      </c>
      <c r="H46" s="72" t="s">
        <v>338</v>
      </c>
      <c r="I46" s="72" t="s">
        <v>331</v>
      </c>
      <c r="J46" s="72"/>
      <c r="K46" s="72"/>
    </row>
    <row r="47" spans="1:11" ht="19.5" customHeight="1">
      <c r="A47" s="70" t="s">
        <v>339</v>
      </c>
      <c r="B47" s="71">
        <v>3.15</v>
      </c>
      <c r="C47" s="72" t="s">
        <v>340</v>
      </c>
      <c r="D47" s="71" t="s">
        <v>255</v>
      </c>
      <c r="E47" s="72" t="s">
        <v>341</v>
      </c>
      <c r="F47" s="73">
        <v>46199</v>
      </c>
      <c r="G47" s="73">
        <v>46199</v>
      </c>
      <c r="H47" s="72" t="s">
        <v>218</v>
      </c>
      <c r="I47" s="72" t="s">
        <v>331</v>
      </c>
      <c r="J47" s="72"/>
      <c r="K47" s="72"/>
    </row>
    <row r="48" spans="1:11" ht="19.5" customHeight="1">
      <c r="A48" s="70" t="s">
        <v>342</v>
      </c>
      <c r="B48" s="71">
        <v>3.16</v>
      </c>
      <c r="C48" s="72" t="s">
        <v>343</v>
      </c>
      <c r="D48" s="71" t="s">
        <v>309</v>
      </c>
      <c r="E48" s="72" t="s">
        <v>344</v>
      </c>
      <c r="F48" s="73">
        <v>46200</v>
      </c>
      <c r="G48" s="73">
        <v>46206</v>
      </c>
      <c r="H48" s="72" t="s">
        <v>218</v>
      </c>
      <c r="I48" s="72" t="s">
        <v>339</v>
      </c>
      <c r="J48" s="72"/>
      <c r="K48" s="72"/>
    </row>
    <row r="49" spans="1:26" ht="19.5" customHeight="1">
      <c r="A49" s="70" t="s">
        <v>345</v>
      </c>
      <c r="B49" s="71">
        <v>3.17</v>
      </c>
      <c r="C49" s="72" t="s">
        <v>346</v>
      </c>
      <c r="D49" s="71" t="s">
        <v>226</v>
      </c>
      <c r="E49" s="72" t="s">
        <v>347</v>
      </c>
      <c r="F49" s="73">
        <v>46207</v>
      </c>
      <c r="G49" s="73">
        <v>46208</v>
      </c>
      <c r="H49" s="72" t="s">
        <v>348</v>
      </c>
      <c r="I49" s="72" t="s">
        <v>342</v>
      </c>
      <c r="J49" s="72"/>
      <c r="K49" s="72"/>
    </row>
    <row r="50" spans="1:26" ht="19.5" customHeight="1">
      <c r="A50" s="70" t="s">
        <v>349</v>
      </c>
      <c r="B50" s="71">
        <v>3.18</v>
      </c>
      <c r="C50" s="72" t="s">
        <v>350</v>
      </c>
      <c r="D50" s="71" t="s">
        <v>255</v>
      </c>
      <c r="E50" s="72" t="s">
        <v>351</v>
      </c>
      <c r="F50" s="73">
        <v>46208</v>
      </c>
      <c r="G50" s="73">
        <v>46208</v>
      </c>
      <c r="H50" s="72" t="s">
        <v>352</v>
      </c>
      <c r="I50" s="72" t="s">
        <v>345</v>
      </c>
      <c r="J50" s="72"/>
      <c r="K50" s="72"/>
    </row>
    <row r="51" spans="1:26" ht="19.5" customHeight="1">
      <c r="A51" s="79" t="s">
        <v>353</v>
      </c>
      <c r="B51" s="80" t="s">
        <v>354</v>
      </c>
      <c r="C51" s="79" t="s">
        <v>355</v>
      </c>
      <c r="D51" s="80" t="s">
        <v>235</v>
      </c>
      <c r="E51" s="72" t="s">
        <v>236</v>
      </c>
      <c r="F51" s="73">
        <v>46208</v>
      </c>
      <c r="G51" s="73">
        <v>46208</v>
      </c>
      <c r="H51" s="81" t="s">
        <v>261</v>
      </c>
      <c r="I51" s="81" t="s">
        <v>356</v>
      </c>
      <c r="J51" s="81" t="s">
        <v>238</v>
      </c>
      <c r="K51" s="72"/>
    </row>
    <row r="52" spans="1:26" ht="19.5" customHeight="1">
      <c r="A52" s="82" t="s">
        <v>357</v>
      </c>
      <c r="B52" s="83">
        <v>4</v>
      </c>
      <c r="C52" s="82" t="s">
        <v>358</v>
      </c>
      <c r="D52" s="83" t="s">
        <v>359</v>
      </c>
      <c r="E52" s="72" t="s">
        <v>360</v>
      </c>
      <c r="F52" s="73">
        <f>[1]CONFIGURACIÓN!$B$4+139</f>
        <v>46313</v>
      </c>
      <c r="G52" s="73">
        <f>[1]CONFIGURACIÓN!$B$4+157</f>
        <v>46331</v>
      </c>
      <c r="H52" s="82" t="s">
        <v>361</v>
      </c>
      <c r="I52" s="82" t="s">
        <v>362</v>
      </c>
      <c r="J52" s="72"/>
      <c r="K52" s="72"/>
    </row>
    <row r="53" spans="1:26" ht="19.5" customHeight="1">
      <c r="A53" s="70" t="s">
        <v>363</v>
      </c>
      <c r="B53" s="71">
        <v>4.0999999999999996</v>
      </c>
      <c r="C53" s="72" t="s">
        <v>364</v>
      </c>
      <c r="D53" s="71" t="s">
        <v>255</v>
      </c>
      <c r="E53" s="72" t="s">
        <v>365</v>
      </c>
      <c r="F53" s="73">
        <v>46209</v>
      </c>
      <c r="G53" s="73">
        <v>46209</v>
      </c>
      <c r="H53" s="72" t="s">
        <v>223</v>
      </c>
      <c r="I53" s="72" t="s">
        <v>362</v>
      </c>
      <c r="J53" s="72"/>
      <c r="K53" s="72"/>
    </row>
    <row r="54" spans="1:26" ht="33" customHeight="1">
      <c r="A54" s="84" t="s">
        <v>366</v>
      </c>
      <c r="B54" s="85">
        <v>4.2</v>
      </c>
      <c r="C54" s="78" t="s">
        <v>367</v>
      </c>
      <c r="D54" s="85" t="s">
        <v>221</v>
      </c>
      <c r="E54" s="78" t="s">
        <v>368</v>
      </c>
      <c r="F54" s="86">
        <v>46209</v>
      </c>
      <c r="G54" s="86">
        <v>46209</v>
      </c>
      <c r="H54" s="78" t="s">
        <v>369</v>
      </c>
      <c r="I54" s="78" t="s">
        <v>363</v>
      </c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spans="1:26" ht="19.5" customHeight="1">
      <c r="A55" s="70" t="s">
        <v>370</v>
      </c>
      <c r="B55" s="71">
        <v>4.3</v>
      </c>
      <c r="C55" s="72" t="s">
        <v>371</v>
      </c>
      <c r="D55" s="71" t="s">
        <v>226</v>
      </c>
      <c r="E55" s="72" t="s">
        <v>372</v>
      </c>
      <c r="F55" s="73">
        <v>46209</v>
      </c>
      <c r="G55" s="73">
        <v>46209</v>
      </c>
      <c r="H55" s="72" t="s">
        <v>373</v>
      </c>
      <c r="I55" s="72" t="s">
        <v>366</v>
      </c>
      <c r="J55" s="72"/>
      <c r="K55" s="72"/>
    </row>
    <row r="56" spans="1:26" ht="19.5" customHeight="1">
      <c r="A56" s="70" t="s">
        <v>374</v>
      </c>
      <c r="B56" s="71">
        <v>4.4000000000000004</v>
      </c>
      <c r="C56" s="72" t="s">
        <v>375</v>
      </c>
      <c r="D56" s="71" t="s">
        <v>255</v>
      </c>
      <c r="E56" s="72" t="s">
        <v>376</v>
      </c>
      <c r="F56" s="73">
        <v>46209</v>
      </c>
      <c r="G56" s="73">
        <v>46209</v>
      </c>
      <c r="H56" s="72" t="s">
        <v>261</v>
      </c>
      <c r="I56" s="72" t="s">
        <v>370</v>
      </c>
      <c r="J56" s="72"/>
      <c r="K56" s="72"/>
    </row>
    <row r="57" spans="1:26" ht="19.5" customHeight="1">
      <c r="A57" s="70" t="s">
        <v>377</v>
      </c>
      <c r="B57" s="71">
        <v>4.5</v>
      </c>
      <c r="C57" s="72" t="s">
        <v>378</v>
      </c>
      <c r="D57" s="71" t="s">
        <v>255</v>
      </c>
      <c r="E57" s="72" t="s">
        <v>379</v>
      </c>
      <c r="F57" s="73">
        <v>46209</v>
      </c>
      <c r="G57" s="73">
        <v>46209</v>
      </c>
      <c r="H57" s="72" t="s">
        <v>380</v>
      </c>
      <c r="I57" s="72" t="s">
        <v>374</v>
      </c>
      <c r="J57" s="72"/>
      <c r="K57" s="72"/>
    </row>
    <row r="58" spans="1:26" ht="19.5" customHeight="1">
      <c r="A58" s="70" t="s">
        <v>381</v>
      </c>
      <c r="B58" s="71">
        <v>4.5999999999999996</v>
      </c>
      <c r="C58" s="72" t="s">
        <v>382</v>
      </c>
      <c r="D58" s="71" t="s">
        <v>226</v>
      </c>
      <c r="E58" s="72" t="s">
        <v>383</v>
      </c>
      <c r="F58" s="73">
        <v>46209</v>
      </c>
      <c r="G58" s="73">
        <v>46209</v>
      </c>
      <c r="H58" s="72" t="s">
        <v>380</v>
      </c>
      <c r="I58" s="72" t="s">
        <v>377</v>
      </c>
      <c r="J58" s="72"/>
      <c r="K58" s="72"/>
    </row>
    <row r="59" spans="1:26" ht="19.5" customHeight="1">
      <c r="A59" s="70" t="s">
        <v>384</v>
      </c>
      <c r="B59" s="71">
        <v>4.7</v>
      </c>
      <c r="C59" s="72" t="s">
        <v>385</v>
      </c>
      <c r="D59" s="71" t="s">
        <v>226</v>
      </c>
      <c r="E59" s="72" t="s">
        <v>386</v>
      </c>
      <c r="F59" s="73">
        <v>46209</v>
      </c>
      <c r="G59" s="73">
        <v>46209</v>
      </c>
      <c r="H59" s="72" t="s">
        <v>380</v>
      </c>
      <c r="I59" s="72" t="s">
        <v>381</v>
      </c>
      <c r="J59" s="72"/>
      <c r="K59" s="72"/>
    </row>
    <row r="60" spans="1:26" ht="19.5" customHeight="1">
      <c r="A60" s="70" t="s">
        <v>387</v>
      </c>
      <c r="B60" s="71">
        <v>4.8</v>
      </c>
      <c r="C60" s="72" t="s">
        <v>388</v>
      </c>
      <c r="D60" s="71" t="s">
        <v>226</v>
      </c>
      <c r="E60" s="72" t="s">
        <v>389</v>
      </c>
      <c r="F60" s="73">
        <v>46209</v>
      </c>
      <c r="G60" s="73">
        <v>46209</v>
      </c>
      <c r="H60" s="72" t="s">
        <v>369</v>
      </c>
      <c r="I60" s="72" t="s">
        <v>384</v>
      </c>
      <c r="J60" s="72"/>
      <c r="K60" s="72"/>
    </row>
    <row r="61" spans="1:26" ht="19.5" customHeight="1">
      <c r="A61" s="70" t="s">
        <v>390</v>
      </c>
      <c r="B61" s="71">
        <v>4.9000000000000004</v>
      </c>
      <c r="C61" s="72" t="s">
        <v>391</v>
      </c>
      <c r="D61" s="71" t="s">
        <v>255</v>
      </c>
      <c r="E61" s="72" t="s">
        <v>392</v>
      </c>
      <c r="F61" s="73">
        <v>46209</v>
      </c>
      <c r="G61" s="73">
        <v>46209</v>
      </c>
      <c r="H61" s="72" t="s">
        <v>393</v>
      </c>
      <c r="I61" s="72" t="s">
        <v>387</v>
      </c>
      <c r="J61" s="72"/>
      <c r="K61" s="72"/>
    </row>
    <row r="62" spans="1:26" ht="19.5" customHeight="1">
      <c r="A62" s="70" t="s">
        <v>394</v>
      </c>
      <c r="B62" s="71">
        <v>4.0999999999999996</v>
      </c>
      <c r="C62" s="72" t="s">
        <v>395</v>
      </c>
      <c r="D62" s="71" t="s">
        <v>255</v>
      </c>
      <c r="E62" s="72" t="s">
        <v>396</v>
      </c>
      <c r="F62" s="73">
        <v>46209</v>
      </c>
      <c r="G62" s="73">
        <v>46209</v>
      </c>
      <c r="H62" s="72" t="s">
        <v>261</v>
      </c>
      <c r="I62" s="72" t="s">
        <v>390</v>
      </c>
      <c r="J62" s="72"/>
      <c r="K62" s="72"/>
    </row>
    <row r="63" spans="1:26" ht="25.5" customHeight="1">
      <c r="A63" s="70" t="s">
        <v>397</v>
      </c>
      <c r="B63" s="71">
        <v>4.1100000000000003</v>
      </c>
      <c r="C63" s="72" t="s">
        <v>398</v>
      </c>
      <c r="D63" s="71" t="s">
        <v>255</v>
      </c>
      <c r="E63" s="72" t="s">
        <v>399</v>
      </c>
      <c r="F63" s="73">
        <v>46209</v>
      </c>
      <c r="G63" s="73">
        <v>46209</v>
      </c>
      <c r="H63" s="72" t="s">
        <v>334</v>
      </c>
      <c r="I63" s="72" t="s">
        <v>394</v>
      </c>
      <c r="J63" s="72"/>
      <c r="K63" s="72"/>
    </row>
    <row r="64" spans="1:26" ht="19.5" customHeight="1">
      <c r="A64" s="70" t="s">
        <v>400</v>
      </c>
      <c r="B64" s="71">
        <v>4.12</v>
      </c>
      <c r="C64" s="72" t="s">
        <v>401</v>
      </c>
      <c r="D64" s="71" t="s">
        <v>255</v>
      </c>
      <c r="E64" s="72" t="s">
        <v>402</v>
      </c>
      <c r="F64" s="73">
        <v>46209</v>
      </c>
      <c r="G64" s="73">
        <v>46209</v>
      </c>
      <c r="H64" s="72" t="s">
        <v>218</v>
      </c>
      <c r="I64" s="72" t="s">
        <v>397</v>
      </c>
      <c r="J64" s="72"/>
      <c r="K64" s="72"/>
    </row>
    <row r="65" spans="1:11" ht="19.5" customHeight="1">
      <c r="A65" s="70" t="s">
        <v>403</v>
      </c>
      <c r="B65" s="71">
        <v>4.13</v>
      </c>
      <c r="C65" s="72" t="s">
        <v>404</v>
      </c>
      <c r="D65" s="71" t="s">
        <v>255</v>
      </c>
      <c r="E65" s="72" t="s">
        <v>405</v>
      </c>
      <c r="F65" s="73">
        <v>46209</v>
      </c>
      <c r="G65" s="73">
        <v>46209</v>
      </c>
      <c r="H65" s="72" t="s">
        <v>338</v>
      </c>
      <c r="I65" s="72" t="s">
        <v>397</v>
      </c>
      <c r="J65" s="72"/>
      <c r="K65" s="72"/>
    </row>
    <row r="66" spans="1:11" ht="19.5" customHeight="1">
      <c r="A66" s="70" t="s">
        <v>406</v>
      </c>
      <c r="B66" s="71">
        <v>4.1399999999999997</v>
      </c>
      <c r="C66" s="72" t="s">
        <v>407</v>
      </c>
      <c r="D66" s="71" t="s">
        <v>309</v>
      </c>
      <c r="E66" s="72" t="s">
        <v>408</v>
      </c>
      <c r="F66" s="73">
        <v>46209</v>
      </c>
      <c r="G66" s="73">
        <v>46209</v>
      </c>
      <c r="H66" s="72" t="s">
        <v>218</v>
      </c>
      <c r="I66" s="72" t="s">
        <v>400</v>
      </c>
      <c r="J66" s="72"/>
      <c r="K66" s="72"/>
    </row>
    <row r="67" spans="1:11" ht="32.25" customHeight="1">
      <c r="A67" s="70" t="s">
        <v>409</v>
      </c>
      <c r="B67" s="71">
        <v>4.1500000000000004</v>
      </c>
      <c r="C67" s="78" t="s">
        <v>410</v>
      </c>
      <c r="D67" s="71" t="s">
        <v>255</v>
      </c>
      <c r="E67" s="72" t="s">
        <v>411</v>
      </c>
      <c r="F67" s="73">
        <v>46209</v>
      </c>
      <c r="G67" s="73">
        <v>46209</v>
      </c>
      <c r="H67" s="72" t="s">
        <v>380</v>
      </c>
      <c r="I67" s="72" t="s">
        <v>406</v>
      </c>
      <c r="J67" s="72"/>
      <c r="K67" s="72"/>
    </row>
    <row r="68" spans="1:11" ht="19.5" customHeight="1">
      <c r="A68" s="70" t="s">
        <v>412</v>
      </c>
      <c r="B68" s="71">
        <v>4.16</v>
      </c>
      <c r="C68" s="72" t="s">
        <v>413</v>
      </c>
      <c r="D68" s="71" t="s">
        <v>255</v>
      </c>
      <c r="E68" s="72" t="s">
        <v>414</v>
      </c>
      <c r="F68" s="73">
        <v>46209</v>
      </c>
      <c r="G68" s="73">
        <v>46209</v>
      </c>
      <c r="H68" s="72" t="s">
        <v>415</v>
      </c>
      <c r="I68" s="72" t="s">
        <v>406</v>
      </c>
      <c r="J68" s="72"/>
      <c r="K68" s="72"/>
    </row>
    <row r="69" spans="1:11" ht="19.5" customHeight="1">
      <c r="A69" s="70" t="s">
        <v>416</v>
      </c>
      <c r="B69" s="71">
        <v>4.17</v>
      </c>
      <c r="C69" s="72" t="s">
        <v>417</v>
      </c>
      <c r="D69" s="71" t="s">
        <v>255</v>
      </c>
      <c r="E69" s="72" t="s">
        <v>418</v>
      </c>
      <c r="F69" s="73">
        <v>46209</v>
      </c>
      <c r="G69" s="73">
        <v>46209</v>
      </c>
      <c r="H69" s="72" t="s">
        <v>261</v>
      </c>
      <c r="I69" s="72" t="s">
        <v>412</v>
      </c>
      <c r="J69" s="72"/>
      <c r="K69" s="72"/>
    </row>
    <row r="70" spans="1:11" ht="19.5" customHeight="1">
      <c r="A70" s="70" t="s">
        <v>419</v>
      </c>
      <c r="B70" s="71">
        <v>4.18</v>
      </c>
      <c r="C70" s="72" t="s">
        <v>420</v>
      </c>
      <c r="D70" s="71" t="s">
        <v>221</v>
      </c>
      <c r="E70" s="72" t="s">
        <v>421</v>
      </c>
      <c r="F70" s="73">
        <v>46209</v>
      </c>
      <c r="G70" s="73">
        <v>46226</v>
      </c>
      <c r="H70" s="72" t="s">
        <v>218</v>
      </c>
      <c r="I70" s="72" t="s">
        <v>406</v>
      </c>
      <c r="J70" s="72"/>
      <c r="K70" s="72"/>
    </row>
    <row r="71" spans="1:11" ht="19.5" customHeight="1">
      <c r="A71" s="79" t="s">
        <v>422</v>
      </c>
      <c r="B71" s="80" t="s">
        <v>423</v>
      </c>
      <c r="C71" s="79" t="s">
        <v>424</v>
      </c>
      <c r="D71" s="80" t="s">
        <v>235</v>
      </c>
      <c r="E71" s="72" t="s">
        <v>236</v>
      </c>
      <c r="F71" s="73">
        <v>46226</v>
      </c>
      <c r="G71" s="73">
        <v>46226</v>
      </c>
      <c r="H71" s="81" t="s">
        <v>261</v>
      </c>
      <c r="I71" s="81" t="s">
        <v>419</v>
      </c>
      <c r="J71" s="81" t="s">
        <v>238</v>
      </c>
      <c r="K71" s="72"/>
    </row>
    <row r="72" spans="1:11" ht="19.5" customHeight="1">
      <c r="A72" s="65" t="s">
        <v>425</v>
      </c>
      <c r="B72" s="66">
        <v>5</v>
      </c>
      <c r="C72" s="65" t="s">
        <v>426</v>
      </c>
      <c r="D72" s="66" t="s">
        <v>359</v>
      </c>
      <c r="E72" s="87" t="s">
        <v>427</v>
      </c>
      <c r="F72" s="73">
        <f>[1]CONFIGURACIÓN!$B$4+141</f>
        <v>46315</v>
      </c>
      <c r="G72" s="73">
        <f>[1]CONFIGURACIÓN!$B$4+154</f>
        <v>46328</v>
      </c>
      <c r="H72" s="81"/>
      <c r="I72" s="81"/>
      <c r="J72" s="81"/>
      <c r="K72" s="72"/>
    </row>
    <row r="73" spans="1:11" ht="19.5" customHeight="1">
      <c r="A73" s="88" t="s">
        <v>428</v>
      </c>
      <c r="B73" s="89">
        <v>5.0999999999999996</v>
      </c>
      <c r="C73" s="88" t="s">
        <v>429</v>
      </c>
      <c r="D73" s="89" t="s">
        <v>255</v>
      </c>
      <c r="E73" s="72" t="s">
        <v>430</v>
      </c>
      <c r="F73" s="73">
        <v>46276</v>
      </c>
      <c r="G73" s="73">
        <v>46276</v>
      </c>
      <c r="H73" s="81"/>
      <c r="I73" s="81"/>
      <c r="J73" s="81"/>
      <c r="K73" s="72"/>
    </row>
    <row r="74" spans="1:11" ht="19.5" customHeight="1">
      <c r="A74" s="88" t="s">
        <v>431</v>
      </c>
      <c r="B74" s="89">
        <v>5.2</v>
      </c>
      <c r="C74" s="88" t="s">
        <v>432</v>
      </c>
      <c r="D74" s="89" t="s">
        <v>252</v>
      </c>
      <c r="E74" s="72" t="s">
        <v>433</v>
      </c>
      <c r="F74" s="73">
        <v>46276</v>
      </c>
      <c r="G74" s="73">
        <v>46276</v>
      </c>
      <c r="H74" s="81"/>
      <c r="I74" s="81"/>
      <c r="J74" s="81"/>
      <c r="K74" s="72"/>
    </row>
    <row r="75" spans="1:11" ht="19.5" customHeight="1">
      <c r="A75" s="88" t="s">
        <v>434</v>
      </c>
      <c r="B75" s="89">
        <v>5.3</v>
      </c>
      <c r="C75" s="88" t="s">
        <v>435</v>
      </c>
      <c r="D75" s="89" t="s">
        <v>221</v>
      </c>
      <c r="E75" s="72" t="s">
        <v>436</v>
      </c>
      <c r="F75" s="73">
        <v>46276</v>
      </c>
      <c r="G75" s="73">
        <v>46276</v>
      </c>
      <c r="H75" s="81"/>
      <c r="I75" s="81"/>
      <c r="J75" s="81"/>
      <c r="K75" s="72"/>
    </row>
    <row r="76" spans="1:11" ht="19.5" customHeight="1">
      <c r="A76" s="88" t="s">
        <v>437</v>
      </c>
      <c r="B76" s="89">
        <v>5.4</v>
      </c>
      <c r="C76" s="88" t="s">
        <v>438</v>
      </c>
      <c r="D76" s="89" t="s">
        <v>226</v>
      </c>
      <c r="E76" s="72" t="s">
        <v>439</v>
      </c>
      <c r="F76" s="73">
        <v>46276</v>
      </c>
      <c r="G76" s="73">
        <v>46276</v>
      </c>
      <c r="H76" s="81"/>
      <c r="I76" s="81"/>
      <c r="J76" s="81"/>
      <c r="K76" s="72"/>
    </row>
    <row r="77" spans="1:11" ht="19.5" customHeight="1">
      <c r="A77" s="88" t="s">
        <v>440</v>
      </c>
      <c r="B77" s="89">
        <v>5.5</v>
      </c>
      <c r="C77" s="88" t="s">
        <v>441</v>
      </c>
      <c r="D77" s="89" t="s">
        <v>226</v>
      </c>
      <c r="E77" s="72" t="s">
        <v>442</v>
      </c>
      <c r="F77" s="73">
        <v>46276</v>
      </c>
      <c r="G77" s="73">
        <v>46276</v>
      </c>
      <c r="H77" s="81"/>
      <c r="I77" s="81"/>
      <c r="J77" s="81"/>
      <c r="K77" s="72"/>
    </row>
    <row r="78" spans="1:11" ht="19.5" customHeight="1">
      <c r="A78" s="88" t="s">
        <v>443</v>
      </c>
      <c r="B78" s="89">
        <v>5.6</v>
      </c>
      <c r="C78" s="88" t="s">
        <v>444</v>
      </c>
      <c r="D78" s="89" t="s">
        <v>226</v>
      </c>
      <c r="E78" s="72" t="s">
        <v>445</v>
      </c>
      <c r="F78" s="73">
        <v>46276</v>
      </c>
      <c r="G78" s="73">
        <v>46276</v>
      </c>
      <c r="H78" s="81"/>
      <c r="I78" s="81"/>
      <c r="J78" s="81"/>
      <c r="K78" s="72"/>
    </row>
    <row r="79" spans="1:11" ht="19.5" customHeight="1">
      <c r="A79" s="88" t="s">
        <v>446</v>
      </c>
      <c r="B79" s="89">
        <v>5.7</v>
      </c>
      <c r="C79" s="88" t="s">
        <v>447</v>
      </c>
      <c r="D79" s="89" t="s">
        <v>255</v>
      </c>
      <c r="E79" s="72" t="s">
        <v>448</v>
      </c>
      <c r="F79" s="73">
        <v>46276</v>
      </c>
      <c r="G79" s="73">
        <v>46276</v>
      </c>
      <c r="H79" s="81"/>
      <c r="I79" s="81"/>
      <c r="J79" s="81"/>
      <c r="K79" s="72"/>
    </row>
    <row r="80" spans="1:11" ht="19.5" customHeight="1">
      <c r="A80" s="79" t="s">
        <v>449</v>
      </c>
      <c r="B80" s="80" t="s">
        <v>450</v>
      </c>
      <c r="C80" s="79" t="s">
        <v>451</v>
      </c>
      <c r="D80" s="80" t="s">
        <v>235</v>
      </c>
      <c r="E80" s="72" t="s">
        <v>236</v>
      </c>
      <c r="F80" s="73">
        <v>46293</v>
      </c>
      <c r="G80" s="73">
        <v>46293</v>
      </c>
      <c r="H80" s="81"/>
      <c r="I80" s="81"/>
      <c r="J80" s="81"/>
      <c r="K80" s="72"/>
    </row>
    <row r="81" spans="1:11" ht="19.5" customHeight="1">
      <c r="A81" s="82" t="s">
        <v>452</v>
      </c>
      <c r="B81" s="83">
        <v>6</v>
      </c>
      <c r="C81" s="82" t="s">
        <v>453</v>
      </c>
      <c r="D81" s="83" t="s">
        <v>359</v>
      </c>
      <c r="E81" s="87" t="s">
        <v>454</v>
      </c>
      <c r="F81" s="73">
        <f>[1]CONFIGURACIÓN!$B$4+141</f>
        <v>46315</v>
      </c>
      <c r="G81" s="73">
        <f>[1]CONFIGURACIÓN!$B$4+157</f>
        <v>46331</v>
      </c>
      <c r="H81" s="82" t="s">
        <v>361</v>
      </c>
      <c r="I81" s="82" t="s">
        <v>455</v>
      </c>
      <c r="J81" s="72"/>
      <c r="K81" s="72"/>
    </row>
    <row r="82" spans="1:11" ht="19.5" customHeight="1">
      <c r="A82" s="70" t="s">
        <v>456</v>
      </c>
      <c r="B82" s="71">
        <v>6.1</v>
      </c>
      <c r="C82" s="72" t="s">
        <v>457</v>
      </c>
      <c r="D82" s="71" t="s">
        <v>255</v>
      </c>
      <c r="E82" s="72" t="s">
        <v>365</v>
      </c>
      <c r="F82" s="73">
        <v>46227</v>
      </c>
      <c r="G82" s="73">
        <v>46227</v>
      </c>
      <c r="H82" s="72" t="s">
        <v>223</v>
      </c>
      <c r="I82" s="72" t="s">
        <v>455</v>
      </c>
      <c r="J82" s="72"/>
      <c r="K82" s="72"/>
    </row>
    <row r="83" spans="1:11" ht="19.5" customHeight="1">
      <c r="A83" s="70" t="s">
        <v>458</v>
      </c>
      <c r="B83" s="71">
        <v>6.2</v>
      </c>
      <c r="C83" s="72" t="s">
        <v>459</v>
      </c>
      <c r="D83" s="71" t="s">
        <v>221</v>
      </c>
      <c r="E83" s="72" t="s">
        <v>368</v>
      </c>
      <c r="F83" s="73">
        <v>46227</v>
      </c>
      <c r="G83" s="73">
        <v>46227</v>
      </c>
      <c r="H83" s="72" t="s">
        <v>369</v>
      </c>
      <c r="I83" s="72" t="s">
        <v>428</v>
      </c>
      <c r="J83" s="72"/>
      <c r="K83" s="72"/>
    </row>
    <row r="84" spans="1:11" ht="19.5" customHeight="1">
      <c r="A84" s="70" t="s">
        <v>460</v>
      </c>
      <c r="B84" s="71">
        <v>6.3</v>
      </c>
      <c r="C84" s="72" t="s">
        <v>461</v>
      </c>
      <c r="D84" s="71" t="s">
        <v>226</v>
      </c>
      <c r="E84" s="72" t="s">
        <v>372</v>
      </c>
      <c r="F84" s="73">
        <v>46227</v>
      </c>
      <c r="G84" s="73">
        <v>46227</v>
      </c>
      <c r="H84" s="72" t="s">
        <v>373</v>
      </c>
      <c r="I84" s="72" t="s">
        <v>431</v>
      </c>
      <c r="J84" s="72"/>
      <c r="K84" s="72"/>
    </row>
    <row r="85" spans="1:11" ht="19.5" customHeight="1">
      <c r="A85" s="70" t="s">
        <v>462</v>
      </c>
      <c r="B85" s="71">
        <v>6.4</v>
      </c>
      <c r="C85" s="72" t="s">
        <v>463</v>
      </c>
      <c r="D85" s="71" t="s">
        <v>255</v>
      </c>
      <c r="E85" s="72" t="s">
        <v>464</v>
      </c>
      <c r="F85" s="73">
        <v>46227</v>
      </c>
      <c r="G85" s="73">
        <v>46227</v>
      </c>
      <c r="H85" s="72" t="s">
        <v>261</v>
      </c>
      <c r="I85" s="72" t="s">
        <v>434</v>
      </c>
      <c r="J85" s="72"/>
      <c r="K85" s="72"/>
    </row>
    <row r="86" spans="1:11" ht="19.5" customHeight="1">
      <c r="A86" s="70" t="s">
        <v>465</v>
      </c>
      <c r="B86" s="71">
        <v>6.5</v>
      </c>
      <c r="C86" s="72" t="s">
        <v>466</v>
      </c>
      <c r="D86" s="71" t="s">
        <v>226</v>
      </c>
      <c r="E86" s="72" t="s">
        <v>467</v>
      </c>
      <c r="F86" s="73">
        <v>46227</v>
      </c>
      <c r="G86" s="73">
        <v>46227</v>
      </c>
      <c r="H86" s="72" t="s">
        <v>380</v>
      </c>
      <c r="I86" s="72" t="s">
        <v>437</v>
      </c>
      <c r="J86" s="72"/>
      <c r="K86" s="72"/>
    </row>
    <row r="87" spans="1:11" ht="19.5" customHeight="1">
      <c r="A87" s="70" t="s">
        <v>468</v>
      </c>
      <c r="B87" s="71">
        <v>6.6</v>
      </c>
      <c r="C87" s="72" t="s">
        <v>469</v>
      </c>
      <c r="D87" s="71" t="s">
        <v>226</v>
      </c>
      <c r="E87" s="72" t="s">
        <v>386</v>
      </c>
      <c r="F87" s="73">
        <v>46227</v>
      </c>
      <c r="G87" s="73">
        <v>46227</v>
      </c>
      <c r="H87" s="72" t="s">
        <v>380</v>
      </c>
      <c r="I87" s="72" t="s">
        <v>440</v>
      </c>
      <c r="J87" s="72"/>
      <c r="K87" s="72"/>
    </row>
    <row r="88" spans="1:11" ht="19.5" customHeight="1">
      <c r="A88" s="70" t="s">
        <v>470</v>
      </c>
      <c r="B88" s="71">
        <v>6.7</v>
      </c>
      <c r="C88" s="72" t="s">
        <v>471</v>
      </c>
      <c r="D88" s="71" t="s">
        <v>226</v>
      </c>
      <c r="E88" s="72" t="s">
        <v>389</v>
      </c>
      <c r="F88" s="73">
        <v>46227</v>
      </c>
      <c r="G88" s="73">
        <v>46227</v>
      </c>
      <c r="H88" s="72" t="s">
        <v>369</v>
      </c>
      <c r="I88" s="72" t="s">
        <v>443</v>
      </c>
      <c r="J88" s="72"/>
      <c r="K88" s="72"/>
    </row>
    <row r="89" spans="1:11" ht="19.5" customHeight="1">
      <c r="A89" s="70" t="s">
        <v>472</v>
      </c>
      <c r="B89" s="71">
        <v>6.8</v>
      </c>
      <c r="C89" s="72" t="s">
        <v>473</v>
      </c>
      <c r="D89" s="71" t="s">
        <v>255</v>
      </c>
      <c r="E89" s="72" t="s">
        <v>474</v>
      </c>
      <c r="F89" s="73">
        <v>46227</v>
      </c>
      <c r="G89" s="73">
        <v>46227</v>
      </c>
      <c r="H89" s="72" t="s">
        <v>273</v>
      </c>
      <c r="I89" s="72" t="s">
        <v>446</v>
      </c>
      <c r="J89" s="72"/>
      <c r="K89" s="72"/>
    </row>
    <row r="90" spans="1:11" ht="19.5" customHeight="1">
      <c r="A90" s="70" t="s">
        <v>475</v>
      </c>
      <c r="B90" s="71">
        <v>6.9</v>
      </c>
      <c r="C90" s="72" t="s">
        <v>476</v>
      </c>
      <c r="D90" s="71" t="s">
        <v>255</v>
      </c>
      <c r="E90" s="72" t="s">
        <v>477</v>
      </c>
      <c r="F90" s="73">
        <v>46227</v>
      </c>
      <c r="G90" s="73">
        <v>46227</v>
      </c>
      <c r="H90" s="72" t="s">
        <v>261</v>
      </c>
      <c r="I90" s="72" t="s">
        <v>478</v>
      </c>
      <c r="J90" s="72"/>
      <c r="K90" s="72"/>
    </row>
    <row r="91" spans="1:11" ht="19.5" customHeight="1">
      <c r="A91" s="70" t="s">
        <v>479</v>
      </c>
      <c r="B91" s="71">
        <v>6.1</v>
      </c>
      <c r="C91" s="72" t="s">
        <v>480</v>
      </c>
      <c r="D91" s="71" t="s">
        <v>255</v>
      </c>
      <c r="E91" s="72" t="s">
        <v>481</v>
      </c>
      <c r="F91" s="73">
        <v>46227</v>
      </c>
      <c r="G91" s="73">
        <v>46227</v>
      </c>
      <c r="H91" s="72" t="s">
        <v>334</v>
      </c>
      <c r="I91" s="72" t="s">
        <v>482</v>
      </c>
      <c r="J91" s="72"/>
      <c r="K91" s="72"/>
    </row>
    <row r="92" spans="1:11" ht="19.5" customHeight="1">
      <c r="A92" s="70" t="s">
        <v>483</v>
      </c>
      <c r="B92" s="71">
        <v>6.11</v>
      </c>
      <c r="C92" s="72" t="s">
        <v>484</v>
      </c>
      <c r="D92" s="71" t="s">
        <v>255</v>
      </c>
      <c r="E92" s="72" t="s">
        <v>485</v>
      </c>
      <c r="F92" s="73">
        <v>46227</v>
      </c>
      <c r="G92" s="73">
        <v>46227</v>
      </c>
      <c r="H92" s="72" t="s">
        <v>338</v>
      </c>
      <c r="I92" s="72" t="s">
        <v>486</v>
      </c>
      <c r="J92" s="72"/>
      <c r="K92" s="72"/>
    </row>
    <row r="93" spans="1:11" ht="19.5" customHeight="1">
      <c r="A93" s="70" t="s">
        <v>487</v>
      </c>
      <c r="B93" s="71">
        <v>6.12</v>
      </c>
      <c r="C93" s="72" t="s">
        <v>488</v>
      </c>
      <c r="D93" s="71" t="s">
        <v>309</v>
      </c>
      <c r="E93" s="72" t="s">
        <v>489</v>
      </c>
      <c r="F93" s="73">
        <v>46227</v>
      </c>
      <c r="G93" s="73">
        <v>46227</v>
      </c>
      <c r="H93" s="72" t="s">
        <v>218</v>
      </c>
      <c r="I93" s="72" t="s">
        <v>486</v>
      </c>
      <c r="J93" s="72"/>
      <c r="K93" s="72"/>
    </row>
    <row r="94" spans="1:11" ht="25.5" customHeight="1">
      <c r="A94" s="70" t="s">
        <v>490</v>
      </c>
      <c r="B94" s="71">
        <v>6.13</v>
      </c>
      <c r="C94" s="72" t="s">
        <v>491</v>
      </c>
      <c r="D94" s="71" t="s">
        <v>255</v>
      </c>
      <c r="E94" s="72" t="s">
        <v>492</v>
      </c>
      <c r="F94" s="73">
        <v>46227</v>
      </c>
      <c r="G94" s="73">
        <v>46227</v>
      </c>
      <c r="H94" s="72" t="s">
        <v>415</v>
      </c>
      <c r="I94" s="72" t="s">
        <v>493</v>
      </c>
      <c r="J94" s="72"/>
      <c r="K94" s="72"/>
    </row>
    <row r="95" spans="1:11" ht="19.5" customHeight="1">
      <c r="A95" s="70" t="s">
        <v>494</v>
      </c>
      <c r="B95" s="71">
        <v>6.14</v>
      </c>
      <c r="C95" s="72" t="s">
        <v>495</v>
      </c>
      <c r="D95" s="71" t="s">
        <v>255</v>
      </c>
      <c r="E95" s="72" t="s">
        <v>496</v>
      </c>
      <c r="F95" s="73">
        <v>46227</v>
      </c>
      <c r="G95" s="73">
        <v>46227</v>
      </c>
      <c r="H95" s="72" t="s">
        <v>261</v>
      </c>
      <c r="I95" s="72" t="s">
        <v>497</v>
      </c>
      <c r="J95" s="72"/>
      <c r="K95" s="72"/>
    </row>
    <row r="96" spans="1:11" ht="19.5" customHeight="1">
      <c r="A96" s="70" t="s">
        <v>498</v>
      </c>
      <c r="B96" s="71">
        <v>6.15</v>
      </c>
      <c r="C96" s="72" t="s">
        <v>499</v>
      </c>
      <c r="D96" s="71" t="s">
        <v>226</v>
      </c>
      <c r="E96" s="72" t="s">
        <v>500</v>
      </c>
      <c r="F96" s="73">
        <v>46227</v>
      </c>
      <c r="G96" s="73">
        <v>46244</v>
      </c>
      <c r="H96" s="72" t="s">
        <v>218</v>
      </c>
      <c r="I96" s="72" t="s">
        <v>493</v>
      </c>
      <c r="J96" s="72"/>
      <c r="K96" s="72"/>
    </row>
    <row r="97" spans="1:11" ht="19.5" customHeight="1">
      <c r="A97" s="79" t="s">
        <v>501</v>
      </c>
      <c r="B97" s="80">
        <v>6</v>
      </c>
      <c r="C97" s="79" t="s">
        <v>502</v>
      </c>
      <c r="D97" s="80" t="s">
        <v>235</v>
      </c>
      <c r="E97" s="72" t="s">
        <v>236</v>
      </c>
      <c r="F97" s="73">
        <v>46244</v>
      </c>
      <c r="G97" s="73">
        <v>46244</v>
      </c>
      <c r="H97" s="81" t="s">
        <v>261</v>
      </c>
      <c r="I97" s="81" t="s">
        <v>503</v>
      </c>
      <c r="J97" s="81" t="s">
        <v>238</v>
      </c>
      <c r="K97" s="72"/>
    </row>
    <row r="98" spans="1:11" ht="19.5" customHeight="1">
      <c r="A98" s="65" t="s">
        <v>504</v>
      </c>
      <c r="B98" s="66" t="s">
        <v>504</v>
      </c>
      <c r="C98" s="65" t="s">
        <v>505</v>
      </c>
      <c r="D98" s="66" t="s">
        <v>359</v>
      </c>
      <c r="E98" s="87" t="s">
        <v>506</v>
      </c>
      <c r="F98" s="73">
        <f>[1]CONFIGURACIÓN!$B$4+141</f>
        <v>46315</v>
      </c>
      <c r="G98" s="73">
        <f>[1]CONFIGURACIÓN!$B$4+154</f>
        <v>46328</v>
      </c>
      <c r="H98" s="81"/>
      <c r="I98" s="81"/>
      <c r="J98" s="81"/>
      <c r="K98" s="72"/>
    </row>
    <row r="99" spans="1:11" ht="19.5" customHeight="1">
      <c r="A99" s="88" t="s">
        <v>507</v>
      </c>
      <c r="B99" s="89" t="s">
        <v>507</v>
      </c>
      <c r="C99" s="88" t="s">
        <v>508</v>
      </c>
      <c r="D99" s="89" t="s">
        <v>255</v>
      </c>
      <c r="E99" s="72" t="s">
        <v>430</v>
      </c>
      <c r="F99" s="73">
        <v>46294</v>
      </c>
      <c r="G99" s="73">
        <v>46294</v>
      </c>
      <c r="H99" s="81"/>
      <c r="I99" s="81"/>
      <c r="J99" s="81"/>
      <c r="K99" s="72"/>
    </row>
    <row r="100" spans="1:11" ht="19.5" customHeight="1">
      <c r="A100" s="88" t="s">
        <v>509</v>
      </c>
      <c r="B100" s="89" t="s">
        <v>509</v>
      </c>
      <c r="C100" s="88" t="s">
        <v>510</v>
      </c>
      <c r="D100" s="89" t="s">
        <v>252</v>
      </c>
      <c r="E100" s="72" t="s">
        <v>511</v>
      </c>
      <c r="F100" s="73">
        <v>46294</v>
      </c>
      <c r="G100" s="73">
        <v>46294</v>
      </c>
      <c r="H100" s="81"/>
      <c r="I100" s="81"/>
      <c r="J100" s="81"/>
      <c r="K100" s="72"/>
    </row>
    <row r="101" spans="1:11" ht="19.5" customHeight="1">
      <c r="A101" s="88" t="s">
        <v>512</v>
      </c>
      <c r="B101" s="89" t="s">
        <v>512</v>
      </c>
      <c r="C101" s="88" t="s">
        <v>513</v>
      </c>
      <c r="D101" s="89" t="s">
        <v>221</v>
      </c>
      <c r="E101" s="72" t="s">
        <v>514</v>
      </c>
      <c r="F101" s="73">
        <v>46294</v>
      </c>
      <c r="G101" s="73">
        <v>46294</v>
      </c>
      <c r="H101" s="81"/>
      <c r="I101" s="81"/>
      <c r="J101" s="81"/>
      <c r="K101" s="72"/>
    </row>
    <row r="102" spans="1:11" ht="19.5" customHeight="1">
      <c r="A102" s="88" t="s">
        <v>515</v>
      </c>
      <c r="B102" s="89" t="s">
        <v>515</v>
      </c>
      <c r="C102" s="88" t="s">
        <v>516</v>
      </c>
      <c r="D102" s="89" t="s">
        <v>226</v>
      </c>
      <c r="E102" s="72" t="s">
        <v>517</v>
      </c>
      <c r="F102" s="73">
        <v>46294</v>
      </c>
      <c r="G102" s="73">
        <v>46294</v>
      </c>
      <c r="H102" s="81"/>
      <c r="I102" s="81"/>
      <c r="J102" s="81"/>
      <c r="K102" s="72"/>
    </row>
    <row r="103" spans="1:11" ht="19.5" customHeight="1">
      <c r="A103" s="88" t="s">
        <v>518</v>
      </c>
      <c r="B103" s="89" t="s">
        <v>518</v>
      </c>
      <c r="C103" s="88" t="s">
        <v>519</v>
      </c>
      <c r="D103" s="89" t="s">
        <v>226</v>
      </c>
      <c r="E103" s="72" t="s">
        <v>520</v>
      </c>
      <c r="F103" s="73">
        <v>46294</v>
      </c>
      <c r="G103" s="73">
        <v>46294</v>
      </c>
      <c r="H103" s="81"/>
      <c r="I103" s="81"/>
      <c r="J103" s="81"/>
      <c r="K103" s="72"/>
    </row>
    <row r="104" spans="1:11" ht="19.5" customHeight="1">
      <c r="A104" s="88" t="s">
        <v>521</v>
      </c>
      <c r="B104" s="89" t="s">
        <v>521</v>
      </c>
      <c r="C104" s="88" t="s">
        <v>522</v>
      </c>
      <c r="D104" s="89" t="s">
        <v>226</v>
      </c>
      <c r="E104" s="72" t="s">
        <v>523</v>
      </c>
      <c r="F104" s="73">
        <v>46294</v>
      </c>
      <c r="G104" s="73">
        <v>46294</v>
      </c>
      <c r="H104" s="81"/>
      <c r="I104" s="81"/>
      <c r="J104" s="81"/>
      <c r="K104" s="72"/>
    </row>
    <row r="105" spans="1:11" ht="19.5" customHeight="1">
      <c r="A105" s="88" t="s">
        <v>524</v>
      </c>
      <c r="B105" s="89" t="s">
        <v>524</v>
      </c>
      <c r="C105" s="88" t="s">
        <v>525</v>
      </c>
      <c r="D105" s="89" t="s">
        <v>255</v>
      </c>
      <c r="E105" s="72" t="s">
        <v>526</v>
      </c>
      <c r="F105" s="73">
        <v>46294</v>
      </c>
      <c r="G105" s="73">
        <v>46294</v>
      </c>
      <c r="H105" s="81"/>
      <c r="I105" s="81"/>
      <c r="J105" s="81"/>
      <c r="K105" s="72"/>
    </row>
    <row r="106" spans="1:11" ht="19.5" customHeight="1">
      <c r="A106" s="79" t="s">
        <v>527</v>
      </c>
      <c r="B106" s="80" t="s">
        <v>528</v>
      </c>
      <c r="C106" s="79" t="s">
        <v>529</v>
      </c>
      <c r="D106" s="80" t="s">
        <v>235</v>
      </c>
      <c r="E106" s="72" t="s">
        <v>236</v>
      </c>
      <c r="F106" s="73">
        <v>46311</v>
      </c>
      <c r="G106" s="73">
        <v>46311</v>
      </c>
      <c r="H106" s="81"/>
      <c r="I106" s="81"/>
      <c r="J106" s="81"/>
      <c r="K106" s="72"/>
    </row>
    <row r="107" spans="1:11" ht="19.5" customHeight="1">
      <c r="A107" s="82" t="s">
        <v>530</v>
      </c>
      <c r="B107" s="83">
        <v>7</v>
      </c>
      <c r="C107" s="82" t="s">
        <v>531</v>
      </c>
      <c r="D107" s="83" t="s">
        <v>359</v>
      </c>
      <c r="E107" s="72" t="s">
        <v>532</v>
      </c>
      <c r="F107" s="73">
        <f>[1]CONFIGURACIÓN!$B$4+141</f>
        <v>46315</v>
      </c>
      <c r="G107" s="73">
        <f>[1]CONFIGURACIÓN!$B$4+157</f>
        <v>46331</v>
      </c>
      <c r="H107" s="82" t="s">
        <v>361</v>
      </c>
      <c r="I107" s="82" t="s">
        <v>533</v>
      </c>
      <c r="J107" s="72"/>
      <c r="K107" s="72"/>
    </row>
    <row r="108" spans="1:11" ht="19.5" customHeight="1">
      <c r="A108" s="70" t="s">
        <v>534</v>
      </c>
      <c r="B108" s="71">
        <v>7.1</v>
      </c>
      <c r="C108" s="72" t="s">
        <v>535</v>
      </c>
      <c r="D108" s="71" t="s">
        <v>255</v>
      </c>
      <c r="E108" s="72" t="s">
        <v>536</v>
      </c>
      <c r="F108" s="73">
        <v>46245</v>
      </c>
      <c r="G108" s="73">
        <v>46245</v>
      </c>
      <c r="H108" s="72" t="s">
        <v>223</v>
      </c>
      <c r="I108" s="72" t="s">
        <v>533</v>
      </c>
      <c r="J108" s="72"/>
      <c r="K108" s="72"/>
    </row>
    <row r="109" spans="1:11" ht="19.5" customHeight="1">
      <c r="A109" s="70" t="s">
        <v>537</v>
      </c>
      <c r="B109" s="71">
        <v>7.2</v>
      </c>
      <c r="C109" s="72" t="s">
        <v>538</v>
      </c>
      <c r="D109" s="71" t="s">
        <v>221</v>
      </c>
      <c r="E109" s="72" t="s">
        <v>539</v>
      </c>
      <c r="F109" s="73">
        <v>46245</v>
      </c>
      <c r="G109" s="73">
        <v>46245</v>
      </c>
      <c r="H109" s="72" t="s">
        <v>369</v>
      </c>
      <c r="I109" s="72" t="s">
        <v>456</v>
      </c>
      <c r="J109" s="72"/>
      <c r="K109" s="72"/>
    </row>
    <row r="110" spans="1:11" ht="19.5" customHeight="1">
      <c r="A110" s="70" t="s">
        <v>540</v>
      </c>
      <c r="B110" s="71">
        <v>7.3</v>
      </c>
      <c r="C110" s="72" t="s">
        <v>541</v>
      </c>
      <c r="D110" s="71" t="s">
        <v>226</v>
      </c>
      <c r="E110" s="72" t="s">
        <v>542</v>
      </c>
      <c r="F110" s="73">
        <v>46245</v>
      </c>
      <c r="G110" s="73">
        <v>46245</v>
      </c>
      <c r="H110" s="72" t="s">
        <v>373</v>
      </c>
      <c r="I110" s="72" t="s">
        <v>458</v>
      </c>
      <c r="J110" s="72"/>
      <c r="K110" s="72"/>
    </row>
    <row r="111" spans="1:11" ht="19.5" customHeight="1">
      <c r="A111" s="70" t="s">
        <v>543</v>
      </c>
      <c r="B111" s="71">
        <v>7.4</v>
      </c>
      <c r="C111" s="72" t="s">
        <v>544</v>
      </c>
      <c r="D111" s="71" t="s">
        <v>255</v>
      </c>
      <c r="E111" s="72" t="s">
        <v>464</v>
      </c>
      <c r="F111" s="73">
        <v>46245</v>
      </c>
      <c r="G111" s="73">
        <v>46245</v>
      </c>
      <c r="H111" s="72" t="s">
        <v>261</v>
      </c>
      <c r="I111" s="72" t="s">
        <v>460</v>
      </c>
      <c r="J111" s="72"/>
      <c r="K111" s="72"/>
    </row>
    <row r="112" spans="1:11" ht="19.5" customHeight="1">
      <c r="A112" s="70" t="s">
        <v>545</v>
      </c>
      <c r="B112" s="71">
        <v>7.5</v>
      </c>
      <c r="C112" s="72" t="s">
        <v>546</v>
      </c>
      <c r="D112" s="71" t="s">
        <v>221</v>
      </c>
      <c r="E112" s="72" t="s">
        <v>547</v>
      </c>
      <c r="F112" s="73">
        <v>46245</v>
      </c>
      <c r="G112" s="73">
        <v>46245</v>
      </c>
      <c r="H112" s="72" t="s">
        <v>380</v>
      </c>
      <c r="I112" s="72" t="s">
        <v>462</v>
      </c>
      <c r="J112" s="72"/>
      <c r="K112" s="72"/>
    </row>
    <row r="113" spans="1:11" ht="19.5" customHeight="1">
      <c r="A113" s="70" t="s">
        <v>548</v>
      </c>
      <c r="B113" s="71">
        <v>7.6</v>
      </c>
      <c r="C113" s="72" t="s">
        <v>549</v>
      </c>
      <c r="D113" s="71" t="s">
        <v>226</v>
      </c>
      <c r="E113" s="72" t="s">
        <v>550</v>
      </c>
      <c r="F113" s="73">
        <v>46245</v>
      </c>
      <c r="G113" s="73">
        <v>46245</v>
      </c>
      <c r="H113" s="72" t="s">
        <v>551</v>
      </c>
      <c r="I113" s="72" t="s">
        <v>465</v>
      </c>
      <c r="J113" s="72"/>
      <c r="K113" s="72"/>
    </row>
    <row r="114" spans="1:11" ht="19.5" customHeight="1">
      <c r="A114" s="70" t="s">
        <v>552</v>
      </c>
      <c r="B114" s="71">
        <v>7.7</v>
      </c>
      <c r="C114" s="72" t="s">
        <v>553</v>
      </c>
      <c r="D114" s="71" t="s">
        <v>255</v>
      </c>
      <c r="E114" s="72" t="s">
        <v>554</v>
      </c>
      <c r="F114" s="73">
        <v>46245</v>
      </c>
      <c r="G114" s="73">
        <v>46245</v>
      </c>
      <c r="H114" s="72" t="s">
        <v>261</v>
      </c>
      <c r="I114" s="72" t="s">
        <v>468</v>
      </c>
      <c r="J114" s="72"/>
      <c r="K114" s="72"/>
    </row>
    <row r="115" spans="1:11" ht="19.5" customHeight="1">
      <c r="A115" s="70" t="s">
        <v>555</v>
      </c>
      <c r="B115" s="71">
        <v>7.8</v>
      </c>
      <c r="C115" s="72" t="s">
        <v>556</v>
      </c>
      <c r="D115" s="71" t="s">
        <v>255</v>
      </c>
      <c r="E115" s="72" t="s">
        <v>557</v>
      </c>
      <c r="F115" s="73">
        <v>46245</v>
      </c>
      <c r="G115" s="73">
        <v>46245</v>
      </c>
      <c r="H115" s="72" t="s">
        <v>558</v>
      </c>
      <c r="I115" s="72" t="s">
        <v>470</v>
      </c>
      <c r="J115" s="72"/>
      <c r="K115" s="72"/>
    </row>
    <row r="116" spans="1:11" ht="19.5" customHeight="1">
      <c r="A116" s="70" t="s">
        <v>559</v>
      </c>
      <c r="B116" s="71">
        <v>7.9</v>
      </c>
      <c r="C116" s="72" t="s">
        <v>560</v>
      </c>
      <c r="D116" s="71" t="s">
        <v>193</v>
      </c>
      <c r="E116" s="72" t="s">
        <v>561</v>
      </c>
      <c r="F116" s="73">
        <v>46245</v>
      </c>
      <c r="G116" s="73">
        <v>46245</v>
      </c>
      <c r="H116" s="72" t="s">
        <v>352</v>
      </c>
      <c r="I116" s="72" t="s">
        <v>472</v>
      </c>
      <c r="J116" s="72"/>
      <c r="K116" s="72"/>
    </row>
    <row r="117" spans="1:11" ht="19.5" customHeight="1">
      <c r="A117" s="70" t="s">
        <v>562</v>
      </c>
      <c r="B117" s="71">
        <v>7.1</v>
      </c>
      <c r="C117" s="72" t="s">
        <v>563</v>
      </c>
      <c r="D117" s="71" t="s">
        <v>226</v>
      </c>
      <c r="E117" s="72" t="s">
        <v>236</v>
      </c>
      <c r="F117" s="73">
        <v>46262</v>
      </c>
      <c r="G117" s="73">
        <v>46262</v>
      </c>
      <c r="H117" s="72" t="s">
        <v>261</v>
      </c>
      <c r="I117" s="72" t="s">
        <v>475</v>
      </c>
      <c r="J117" s="72"/>
      <c r="K117" s="72"/>
    </row>
    <row r="118" spans="1:11" ht="19.5" customHeight="1">
      <c r="A118" s="79" t="s">
        <v>564</v>
      </c>
      <c r="B118" s="80">
        <v>7</v>
      </c>
      <c r="C118" s="79" t="s">
        <v>565</v>
      </c>
      <c r="D118" s="80" t="s">
        <v>235</v>
      </c>
      <c r="E118" s="72"/>
      <c r="F118" s="73">
        <v>46262</v>
      </c>
      <c r="G118" s="73">
        <v>46262</v>
      </c>
      <c r="H118" s="81" t="s">
        <v>261</v>
      </c>
      <c r="I118" s="81" t="s">
        <v>479</v>
      </c>
      <c r="J118" s="81" t="s">
        <v>238</v>
      </c>
      <c r="K118" s="72"/>
    </row>
    <row r="119" spans="1:11" ht="19.5" customHeight="1">
      <c r="A119" s="65" t="s">
        <v>566</v>
      </c>
      <c r="B119" s="66" t="s">
        <v>566</v>
      </c>
      <c r="C119" s="65" t="s">
        <v>567</v>
      </c>
      <c r="D119" s="66" t="s">
        <v>359</v>
      </c>
      <c r="E119" s="87" t="s">
        <v>568</v>
      </c>
      <c r="F119" s="73">
        <f>[1]CONFIGURACIÓN!$B$4+141</f>
        <v>46315</v>
      </c>
      <c r="G119" s="73">
        <f>[1]CONFIGURACIÓN!$B$4+154</f>
        <v>46328</v>
      </c>
      <c r="H119" s="81"/>
      <c r="I119" s="81"/>
      <c r="J119" s="81"/>
      <c r="K119" s="72"/>
    </row>
    <row r="120" spans="1:11" ht="19.5" customHeight="1">
      <c r="A120" s="88" t="s">
        <v>569</v>
      </c>
      <c r="B120" s="89" t="s">
        <v>569</v>
      </c>
      <c r="C120" s="88" t="s">
        <v>570</v>
      </c>
      <c r="D120" s="89" t="s">
        <v>255</v>
      </c>
      <c r="E120" s="72" t="s">
        <v>430</v>
      </c>
      <c r="F120" s="73">
        <v>46312</v>
      </c>
      <c r="G120" s="73">
        <v>46312</v>
      </c>
      <c r="H120" s="81"/>
      <c r="I120" s="81"/>
      <c r="J120" s="81"/>
      <c r="K120" s="72"/>
    </row>
    <row r="121" spans="1:11" ht="19.5" customHeight="1">
      <c r="A121" s="88" t="s">
        <v>571</v>
      </c>
      <c r="B121" s="89" t="s">
        <v>571</v>
      </c>
      <c r="C121" s="88" t="s">
        <v>572</v>
      </c>
      <c r="D121" s="89" t="s">
        <v>252</v>
      </c>
      <c r="E121" s="72" t="s">
        <v>573</v>
      </c>
      <c r="F121" s="73">
        <v>46312</v>
      </c>
      <c r="G121" s="73">
        <v>46312</v>
      </c>
      <c r="H121" s="81"/>
      <c r="I121" s="81"/>
      <c r="J121" s="81"/>
      <c r="K121" s="72"/>
    </row>
    <row r="122" spans="1:11" ht="19.5" customHeight="1">
      <c r="A122" s="88" t="s">
        <v>574</v>
      </c>
      <c r="B122" s="89" t="s">
        <v>574</v>
      </c>
      <c r="C122" s="88" t="s">
        <v>575</v>
      </c>
      <c r="D122" s="89" t="s">
        <v>221</v>
      </c>
      <c r="E122" s="72" t="s">
        <v>576</v>
      </c>
      <c r="F122" s="73">
        <v>46312</v>
      </c>
      <c r="G122" s="73">
        <v>46312</v>
      </c>
      <c r="H122" s="81"/>
      <c r="I122" s="81"/>
      <c r="J122" s="81"/>
      <c r="K122" s="72"/>
    </row>
    <row r="123" spans="1:11" ht="19.5" customHeight="1">
      <c r="A123" s="88" t="s">
        <v>577</v>
      </c>
      <c r="B123" s="89" t="s">
        <v>577</v>
      </c>
      <c r="C123" s="88" t="s">
        <v>578</v>
      </c>
      <c r="D123" s="89" t="s">
        <v>226</v>
      </c>
      <c r="E123" s="72" t="s">
        <v>579</v>
      </c>
      <c r="F123" s="73">
        <v>46312</v>
      </c>
      <c r="G123" s="73">
        <v>46312</v>
      </c>
      <c r="H123" s="81"/>
      <c r="I123" s="81"/>
      <c r="J123" s="81"/>
      <c r="K123" s="72"/>
    </row>
    <row r="124" spans="1:11" ht="19.5" customHeight="1">
      <c r="A124" s="88" t="s">
        <v>580</v>
      </c>
      <c r="B124" s="89" t="s">
        <v>580</v>
      </c>
      <c r="C124" s="88" t="s">
        <v>581</v>
      </c>
      <c r="D124" s="89" t="s">
        <v>226</v>
      </c>
      <c r="E124" s="72" t="s">
        <v>582</v>
      </c>
      <c r="F124" s="73">
        <v>46312</v>
      </c>
      <c r="G124" s="73">
        <v>46312</v>
      </c>
      <c r="H124" s="81"/>
      <c r="I124" s="81"/>
      <c r="J124" s="81"/>
      <c r="K124" s="72"/>
    </row>
    <row r="125" spans="1:11" ht="19.5" customHeight="1">
      <c r="A125" s="88" t="s">
        <v>583</v>
      </c>
      <c r="B125" s="89" t="s">
        <v>583</v>
      </c>
      <c r="C125" s="88" t="s">
        <v>584</v>
      </c>
      <c r="D125" s="89" t="s">
        <v>226</v>
      </c>
      <c r="E125" s="72" t="s">
        <v>585</v>
      </c>
      <c r="F125" s="73">
        <v>46312</v>
      </c>
      <c r="G125" s="73">
        <v>46312</v>
      </c>
      <c r="H125" s="81"/>
      <c r="I125" s="81"/>
      <c r="J125" s="81"/>
      <c r="K125" s="72"/>
    </row>
    <row r="126" spans="1:11" ht="19.5" customHeight="1">
      <c r="A126" s="88" t="s">
        <v>586</v>
      </c>
      <c r="B126" s="89" t="s">
        <v>586</v>
      </c>
      <c r="C126" s="88" t="s">
        <v>587</v>
      </c>
      <c r="D126" s="89" t="s">
        <v>255</v>
      </c>
      <c r="E126" s="72" t="s">
        <v>526</v>
      </c>
      <c r="F126" s="73">
        <v>46312</v>
      </c>
      <c r="G126" s="73">
        <v>46312</v>
      </c>
      <c r="H126" s="81"/>
      <c r="I126" s="81"/>
      <c r="J126" s="81"/>
      <c r="K126" s="72"/>
    </row>
    <row r="127" spans="1:11" ht="19.5" customHeight="1">
      <c r="A127" s="79" t="s">
        <v>588</v>
      </c>
      <c r="B127" s="80" t="s">
        <v>589</v>
      </c>
      <c r="C127" s="79" t="s">
        <v>590</v>
      </c>
      <c r="D127" s="80" t="s">
        <v>235</v>
      </c>
      <c r="E127" s="72" t="s">
        <v>236</v>
      </c>
      <c r="F127" s="73">
        <v>46329</v>
      </c>
      <c r="G127" s="73">
        <v>46329</v>
      </c>
      <c r="H127" s="81"/>
      <c r="I127" s="81"/>
      <c r="J127" s="81"/>
      <c r="K127" s="72"/>
    </row>
    <row r="128" spans="1:11" ht="19.5" customHeight="1">
      <c r="A128" s="82" t="s">
        <v>591</v>
      </c>
      <c r="B128" s="83">
        <v>8</v>
      </c>
      <c r="C128" s="82" t="s">
        <v>592</v>
      </c>
      <c r="D128" s="83" t="s">
        <v>359</v>
      </c>
      <c r="E128" s="72" t="s">
        <v>593</v>
      </c>
      <c r="F128" s="73">
        <f>[1]CONFIGURACIÓN!$B$4+141</f>
        <v>46315</v>
      </c>
      <c r="G128" s="73">
        <f>[1]CONFIGURACIÓN!$B$4+157</f>
        <v>46331</v>
      </c>
      <c r="H128" s="82" t="s">
        <v>361</v>
      </c>
      <c r="I128" s="82" t="s">
        <v>594</v>
      </c>
      <c r="J128" s="72"/>
      <c r="K128" s="72"/>
    </row>
    <row r="129" spans="1:11" ht="19.5" customHeight="1">
      <c r="A129" s="70" t="s">
        <v>595</v>
      </c>
      <c r="B129" s="71">
        <v>8.1</v>
      </c>
      <c r="C129" s="72" t="s">
        <v>596</v>
      </c>
      <c r="D129" s="71" t="s">
        <v>255</v>
      </c>
      <c r="E129" s="72" t="s">
        <v>536</v>
      </c>
      <c r="F129" s="73">
        <v>46263</v>
      </c>
      <c r="G129" s="73">
        <v>46263</v>
      </c>
      <c r="H129" s="72" t="s">
        <v>223</v>
      </c>
      <c r="I129" s="72" t="s">
        <v>594</v>
      </c>
      <c r="J129" s="72"/>
      <c r="K129" s="72"/>
    </row>
    <row r="130" spans="1:11" ht="19.5" customHeight="1">
      <c r="A130" s="70" t="s">
        <v>597</v>
      </c>
      <c r="B130" s="71">
        <v>8.1999999999999993</v>
      </c>
      <c r="C130" s="72" t="s">
        <v>598</v>
      </c>
      <c r="D130" s="71" t="s">
        <v>221</v>
      </c>
      <c r="E130" s="72" t="s">
        <v>599</v>
      </c>
      <c r="F130" s="73">
        <v>46263</v>
      </c>
      <c r="G130" s="73">
        <v>46263</v>
      </c>
      <c r="H130" s="72" t="s">
        <v>369</v>
      </c>
      <c r="I130" s="72" t="s">
        <v>534</v>
      </c>
      <c r="J130" s="72"/>
      <c r="K130" s="72"/>
    </row>
    <row r="131" spans="1:11" ht="19.5" customHeight="1">
      <c r="A131" s="70" t="s">
        <v>600</v>
      </c>
      <c r="B131" s="71">
        <v>8.3000000000000007</v>
      </c>
      <c r="C131" s="72" t="s">
        <v>601</v>
      </c>
      <c r="D131" s="71" t="s">
        <v>226</v>
      </c>
      <c r="E131" s="72" t="s">
        <v>602</v>
      </c>
      <c r="F131" s="73">
        <v>46263</v>
      </c>
      <c r="G131" s="73">
        <v>46263</v>
      </c>
      <c r="H131" s="72" t="s">
        <v>373</v>
      </c>
      <c r="I131" s="72" t="s">
        <v>537</v>
      </c>
      <c r="J131" s="72"/>
      <c r="K131" s="72"/>
    </row>
    <row r="132" spans="1:11" ht="19.5" customHeight="1">
      <c r="A132" s="70" t="s">
        <v>603</v>
      </c>
      <c r="B132" s="71">
        <v>8.4</v>
      </c>
      <c r="C132" s="72" t="s">
        <v>604</v>
      </c>
      <c r="D132" s="71" t="s">
        <v>255</v>
      </c>
      <c r="E132" s="72" t="s">
        <v>605</v>
      </c>
      <c r="F132" s="73">
        <v>46263</v>
      </c>
      <c r="G132" s="73">
        <v>46263</v>
      </c>
      <c r="H132" s="72" t="s">
        <v>261</v>
      </c>
      <c r="I132" s="72" t="s">
        <v>540</v>
      </c>
      <c r="J132" s="72"/>
      <c r="K132" s="72"/>
    </row>
    <row r="133" spans="1:11" ht="19.5" customHeight="1">
      <c r="A133" s="70" t="s">
        <v>606</v>
      </c>
      <c r="B133" s="71">
        <v>8.5</v>
      </c>
      <c r="C133" s="72" t="s">
        <v>607</v>
      </c>
      <c r="D133" s="71" t="s">
        <v>221</v>
      </c>
      <c r="E133" s="72" t="s">
        <v>547</v>
      </c>
      <c r="F133" s="73">
        <v>46263</v>
      </c>
      <c r="G133" s="73">
        <v>46263</v>
      </c>
      <c r="H133" s="72" t="s">
        <v>380</v>
      </c>
      <c r="I133" s="72" t="s">
        <v>543</v>
      </c>
      <c r="J133" s="72"/>
      <c r="K133" s="72"/>
    </row>
    <row r="134" spans="1:11" ht="25.5" customHeight="1">
      <c r="A134" s="70" t="s">
        <v>608</v>
      </c>
      <c r="B134" s="71">
        <v>8.6</v>
      </c>
      <c r="C134" s="72" t="s">
        <v>609</v>
      </c>
      <c r="D134" s="71" t="s">
        <v>226</v>
      </c>
      <c r="E134" s="72" t="s">
        <v>610</v>
      </c>
      <c r="F134" s="73">
        <v>46263</v>
      </c>
      <c r="G134" s="73">
        <v>46263</v>
      </c>
      <c r="H134" s="72" t="s">
        <v>551</v>
      </c>
      <c r="I134" s="72" t="s">
        <v>545</v>
      </c>
      <c r="J134" s="72"/>
      <c r="K134" s="72"/>
    </row>
    <row r="135" spans="1:11" ht="19.5" customHeight="1">
      <c r="A135" s="70" t="s">
        <v>611</v>
      </c>
      <c r="B135" s="71">
        <v>8.6999999999999993</v>
      </c>
      <c r="C135" s="72" t="s">
        <v>612</v>
      </c>
      <c r="D135" s="71" t="s">
        <v>255</v>
      </c>
      <c r="E135" s="72" t="s">
        <v>613</v>
      </c>
      <c r="F135" s="73">
        <v>46263</v>
      </c>
      <c r="G135" s="73">
        <v>46263</v>
      </c>
      <c r="H135" s="72" t="s">
        <v>261</v>
      </c>
      <c r="I135" s="72" t="s">
        <v>548</v>
      </c>
      <c r="J135" s="72"/>
      <c r="K135" s="72"/>
    </row>
    <row r="136" spans="1:11" ht="19.5" customHeight="1">
      <c r="A136" s="70" t="s">
        <v>614</v>
      </c>
      <c r="B136" s="71">
        <v>8.8000000000000007</v>
      </c>
      <c r="C136" s="72" t="s">
        <v>615</v>
      </c>
      <c r="D136" s="71" t="s">
        <v>255</v>
      </c>
      <c r="E136" s="72" t="s">
        <v>557</v>
      </c>
      <c r="F136" s="73">
        <v>46263</v>
      </c>
      <c r="G136" s="73">
        <v>46263</v>
      </c>
      <c r="H136" s="72" t="s">
        <v>558</v>
      </c>
      <c r="I136" s="72" t="s">
        <v>552</v>
      </c>
      <c r="J136" s="72"/>
      <c r="K136" s="72"/>
    </row>
    <row r="137" spans="1:11" ht="19.5" customHeight="1">
      <c r="A137" s="70" t="s">
        <v>616</v>
      </c>
      <c r="B137" s="71">
        <v>8.9</v>
      </c>
      <c r="C137" s="72" t="s">
        <v>617</v>
      </c>
      <c r="D137" s="71" t="s">
        <v>193</v>
      </c>
      <c r="E137" s="72" t="s">
        <v>618</v>
      </c>
      <c r="F137" s="73">
        <v>46263</v>
      </c>
      <c r="G137" s="73">
        <v>46263</v>
      </c>
      <c r="H137" s="72" t="s">
        <v>352</v>
      </c>
      <c r="I137" s="72" t="s">
        <v>555</v>
      </c>
      <c r="J137" s="72"/>
      <c r="K137" s="72"/>
    </row>
    <row r="138" spans="1:11" ht="19.5" customHeight="1">
      <c r="A138" s="70" t="s">
        <v>619</v>
      </c>
      <c r="B138" s="71">
        <v>8.1</v>
      </c>
      <c r="C138" s="72" t="s">
        <v>620</v>
      </c>
      <c r="D138" s="71" t="s">
        <v>226</v>
      </c>
      <c r="E138" s="72" t="s">
        <v>621</v>
      </c>
      <c r="F138" s="73">
        <v>46263</v>
      </c>
      <c r="G138" s="73">
        <v>46263</v>
      </c>
      <c r="H138" s="72" t="s">
        <v>261</v>
      </c>
      <c r="I138" s="72" t="s">
        <v>559</v>
      </c>
      <c r="J138" s="72"/>
      <c r="K138" s="72"/>
    </row>
    <row r="139" spans="1:11" ht="19.5" customHeight="1">
      <c r="A139" s="79" t="s">
        <v>622</v>
      </c>
      <c r="B139" s="80">
        <v>8</v>
      </c>
      <c r="C139" s="79" t="s">
        <v>623</v>
      </c>
      <c r="D139" s="80" t="s">
        <v>235</v>
      </c>
      <c r="E139" s="72" t="s">
        <v>236</v>
      </c>
      <c r="F139" s="73">
        <v>46280</v>
      </c>
      <c r="G139" s="73">
        <v>46280</v>
      </c>
      <c r="H139" s="81" t="s">
        <v>261</v>
      </c>
      <c r="I139" s="81" t="s">
        <v>562</v>
      </c>
      <c r="J139" s="81" t="s">
        <v>238</v>
      </c>
      <c r="K139" s="72"/>
    </row>
    <row r="140" spans="1:11" ht="19.5" customHeight="1">
      <c r="A140" s="65" t="s">
        <v>624</v>
      </c>
      <c r="B140" s="66" t="s">
        <v>624</v>
      </c>
      <c r="C140" s="65" t="s">
        <v>625</v>
      </c>
      <c r="D140" s="66" t="s">
        <v>359</v>
      </c>
      <c r="E140" s="87" t="s">
        <v>626</v>
      </c>
      <c r="F140" s="73">
        <f>[1]CONFIGURACIÓN!$B$4+141</f>
        <v>46315</v>
      </c>
      <c r="G140" s="73">
        <f>[1]CONFIGURACIÓN!$B$4+154</f>
        <v>46328</v>
      </c>
      <c r="H140" s="81"/>
      <c r="I140" s="81"/>
      <c r="J140" s="81"/>
      <c r="K140" s="72"/>
    </row>
    <row r="141" spans="1:11" ht="19.5" customHeight="1">
      <c r="A141" s="88" t="s">
        <v>627</v>
      </c>
      <c r="B141" s="89" t="s">
        <v>627</v>
      </c>
      <c r="C141" s="88" t="s">
        <v>628</v>
      </c>
      <c r="D141" s="89" t="s">
        <v>255</v>
      </c>
      <c r="E141" s="72" t="s">
        <v>629</v>
      </c>
      <c r="F141" s="73">
        <v>46330</v>
      </c>
      <c r="G141" s="73">
        <v>46330</v>
      </c>
      <c r="H141" s="81"/>
      <c r="I141" s="81"/>
      <c r="J141" s="81"/>
      <c r="K141" s="72"/>
    </row>
    <row r="142" spans="1:11" ht="19.5" customHeight="1">
      <c r="A142" s="88" t="s">
        <v>630</v>
      </c>
      <c r="B142" s="89" t="s">
        <v>630</v>
      </c>
      <c r="C142" s="88" t="s">
        <v>631</v>
      </c>
      <c r="D142" s="89" t="s">
        <v>252</v>
      </c>
      <c r="E142" s="72" t="s">
        <v>632</v>
      </c>
      <c r="F142" s="73">
        <v>46330</v>
      </c>
      <c r="G142" s="73">
        <v>46330</v>
      </c>
      <c r="H142" s="81"/>
      <c r="I142" s="81"/>
      <c r="J142" s="81"/>
      <c r="K142" s="72"/>
    </row>
    <row r="143" spans="1:11" ht="19.5" customHeight="1">
      <c r="A143" s="88" t="s">
        <v>633</v>
      </c>
      <c r="B143" s="89" t="s">
        <v>633</v>
      </c>
      <c r="C143" s="88" t="s">
        <v>634</v>
      </c>
      <c r="D143" s="89" t="s">
        <v>221</v>
      </c>
      <c r="E143" s="72" t="s">
        <v>576</v>
      </c>
      <c r="F143" s="73">
        <v>46330</v>
      </c>
      <c r="G143" s="73">
        <v>46330</v>
      </c>
      <c r="H143" s="81"/>
      <c r="I143" s="81"/>
      <c r="J143" s="81"/>
      <c r="K143" s="72"/>
    </row>
    <row r="144" spans="1:11" ht="19.5" customHeight="1">
      <c r="A144" s="88" t="s">
        <v>635</v>
      </c>
      <c r="B144" s="89" t="s">
        <v>635</v>
      </c>
      <c r="C144" s="88" t="s">
        <v>636</v>
      </c>
      <c r="D144" s="89" t="s">
        <v>226</v>
      </c>
      <c r="E144" s="72" t="s">
        <v>637</v>
      </c>
      <c r="F144" s="73">
        <v>46330</v>
      </c>
      <c r="G144" s="73">
        <v>46330</v>
      </c>
      <c r="H144" s="81"/>
      <c r="I144" s="81"/>
      <c r="J144" s="81"/>
      <c r="K144" s="72"/>
    </row>
    <row r="145" spans="1:11" ht="19.5" customHeight="1">
      <c r="A145" s="88" t="s">
        <v>638</v>
      </c>
      <c r="B145" s="89" t="s">
        <v>638</v>
      </c>
      <c r="C145" s="88" t="s">
        <v>639</v>
      </c>
      <c r="D145" s="89" t="s">
        <v>226</v>
      </c>
      <c r="E145" s="72" t="s">
        <v>582</v>
      </c>
      <c r="F145" s="73">
        <v>46330</v>
      </c>
      <c r="G145" s="73">
        <v>46330</v>
      </c>
      <c r="H145" s="81"/>
      <c r="I145" s="81"/>
      <c r="J145" s="81"/>
      <c r="K145" s="72"/>
    </row>
    <row r="146" spans="1:11" ht="19.5" customHeight="1">
      <c r="A146" s="88" t="s">
        <v>640</v>
      </c>
      <c r="B146" s="89" t="s">
        <v>640</v>
      </c>
      <c r="C146" s="88" t="s">
        <v>641</v>
      </c>
      <c r="D146" s="89" t="s">
        <v>226</v>
      </c>
      <c r="E146" s="72" t="s">
        <v>585</v>
      </c>
      <c r="F146" s="73">
        <v>46330</v>
      </c>
      <c r="G146" s="73">
        <v>46330</v>
      </c>
      <c r="H146" s="81"/>
      <c r="I146" s="81"/>
      <c r="J146" s="81"/>
      <c r="K146" s="72"/>
    </row>
    <row r="147" spans="1:11" ht="19.5" customHeight="1">
      <c r="A147" s="88" t="s">
        <v>642</v>
      </c>
      <c r="B147" s="89" t="s">
        <v>642</v>
      </c>
      <c r="C147" s="88" t="s">
        <v>643</v>
      </c>
      <c r="D147" s="89" t="s">
        <v>255</v>
      </c>
      <c r="E147" s="72" t="s">
        <v>644</v>
      </c>
      <c r="F147" s="73">
        <v>46330</v>
      </c>
      <c r="G147" s="73">
        <v>46330</v>
      </c>
      <c r="H147" s="81"/>
      <c r="I147" s="81"/>
      <c r="J147" s="81"/>
      <c r="K147" s="72"/>
    </row>
    <row r="148" spans="1:11" ht="19.5" customHeight="1">
      <c r="A148" s="79" t="s">
        <v>645</v>
      </c>
      <c r="B148" s="80" t="s">
        <v>646</v>
      </c>
      <c r="C148" s="79" t="s">
        <v>647</v>
      </c>
      <c r="D148" s="80" t="s">
        <v>235</v>
      </c>
      <c r="E148" s="72" t="s">
        <v>236</v>
      </c>
      <c r="F148" s="73">
        <v>46347</v>
      </c>
      <c r="G148" s="73">
        <v>46347</v>
      </c>
      <c r="H148" s="81"/>
      <c r="I148" s="81"/>
      <c r="J148" s="81"/>
      <c r="K148" s="72"/>
    </row>
    <row r="149" spans="1:11" ht="19.5" customHeight="1">
      <c r="A149" s="82" t="s">
        <v>648</v>
      </c>
      <c r="B149" s="83">
        <v>9</v>
      </c>
      <c r="C149" s="82" t="s">
        <v>649</v>
      </c>
      <c r="D149" s="83" t="s">
        <v>359</v>
      </c>
      <c r="E149" s="72" t="s">
        <v>650</v>
      </c>
      <c r="F149" s="73">
        <f>[1]CONFIGURACIÓN!$B$4+184</f>
        <v>46358</v>
      </c>
      <c r="G149" s="73">
        <f>[1]CONFIGURACIÓN!$B$4+193</f>
        <v>46367</v>
      </c>
      <c r="H149" s="82" t="s">
        <v>361</v>
      </c>
      <c r="I149" s="82" t="s">
        <v>651</v>
      </c>
      <c r="J149" s="72"/>
      <c r="K149" s="72"/>
    </row>
    <row r="150" spans="1:11" ht="19.5" customHeight="1">
      <c r="A150" s="90" t="s">
        <v>652</v>
      </c>
      <c r="B150" s="71">
        <v>9.1</v>
      </c>
      <c r="C150" s="72" t="s">
        <v>653</v>
      </c>
      <c r="D150" s="71" t="s">
        <v>182</v>
      </c>
      <c r="E150" s="72" t="s">
        <v>654</v>
      </c>
      <c r="F150" s="73">
        <v>46281</v>
      </c>
      <c r="G150" s="73">
        <v>46285</v>
      </c>
      <c r="H150" s="72" t="s">
        <v>655</v>
      </c>
      <c r="I150" s="72" t="s">
        <v>651</v>
      </c>
      <c r="J150" s="72"/>
      <c r="K150" s="72"/>
    </row>
    <row r="151" spans="1:11" ht="19.5" customHeight="1">
      <c r="A151" s="90" t="s">
        <v>656</v>
      </c>
      <c r="B151" s="71">
        <v>9.1999999999999993</v>
      </c>
      <c r="C151" s="72" t="s">
        <v>657</v>
      </c>
      <c r="D151" s="71" t="s">
        <v>255</v>
      </c>
      <c r="E151" s="72" t="s">
        <v>605</v>
      </c>
      <c r="F151" s="73">
        <v>46285</v>
      </c>
      <c r="G151" s="73">
        <v>46285</v>
      </c>
      <c r="H151" s="72" t="s">
        <v>261</v>
      </c>
      <c r="I151" s="72" t="s">
        <v>595</v>
      </c>
      <c r="J151" s="72"/>
      <c r="K151" s="72"/>
    </row>
    <row r="152" spans="1:11" ht="19.5" customHeight="1">
      <c r="A152" s="90" t="s">
        <v>658</v>
      </c>
      <c r="B152" s="71">
        <v>9.3000000000000007</v>
      </c>
      <c r="C152" s="72" t="s">
        <v>659</v>
      </c>
      <c r="D152" s="71" t="s">
        <v>221</v>
      </c>
      <c r="E152" s="72" t="s">
        <v>660</v>
      </c>
      <c r="F152" s="73">
        <v>46286</v>
      </c>
      <c r="G152" s="73">
        <v>46288</v>
      </c>
      <c r="H152" s="72" t="s">
        <v>380</v>
      </c>
      <c r="I152" s="72" t="s">
        <v>597</v>
      </c>
      <c r="J152" s="72"/>
      <c r="K152" s="72"/>
    </row>
    <row r="153" spans="1:11" ht="19.5" customHeight="1">
      <c r="A153" s="90" t="s">
        <v>661</v>
      </c>
      <c r="B153" s="71">
        <v>9.4</v>
      </c>
      <c r="C153" s="72" t="s">
        <v>662</v>
      </c>
      <c r="D153" s="71" t="s">
        <v>226</v>
      </c>
      <c r="E153" s="72" t="s">
        <v>663</v>
      </c>
      <c r="F153" s="73">
        <v>46289</v>
      </c>
      <c r="G153" s="73">
        <v>46290</v>
      </c>
      <c r="H153" s="72" t="s">
        <v>551</v>
      </c>
      <c r="I153" s="72" t="s">
        <v>600</v>
      </c>
      <c r="J153" s="72"/>
      <c r="K153" s="72"/>
    </row>
    <row r="154" spans="1:11" ht="19.5" customHeight="1">
      <c r="A154" s="90" t="s">
        <v>664</v>
      </c>
      <c r="B154" s="71">
        <v>9.5</v>
      </c>
      <c r="C154" s="72" t="s">
        <v>665</v>
      </c>
      <c r="D154" s="71" t="s">
        <v>255</v>
      </c>
      <c r="E154" s="72" t="s">
        <v>613</v>
      </c>
      <c r="F154" s="73">
        <v>46291</v>
      </c>
      <c r="G154" s="73">
        <v>46291</v>
      </c>
      <c r="H154" s="72" t="s">
        <v>261</v>
      </c>
      <c r="I154" s="72" t="s">
        <v>603</v>
      </c>
      <c r="J154" s="72"/>
      <c r="K154" s="72"/>
    </row>
    <row r="155" spans="1:11" ht="19.5" customHeight="1">
      <c r="A155" s="90" t="s">
        <v>666</v>
      </c>
      <c r="B155" s="71">
        <v>9.6</v>
      </c>
      <c r="C155" s="72" t="s">
        <v>667</v>
      </c>
      <c r="D155" s="71" t="s">
        <v>255</v>
      </c>
      <c r="E155" s="72" t="s">
        <v>668</v>
      </c>
      <c r="F155" s="73">
        <v>46291</v>
      </c>
      <c r="G155" s="73">
        <v>46291</v>
      </c>
      <c r="H155" s="72" t="s">
        <v>558</v>
      </c>
      <c r="I155" s="72" t="s">
        <v>606</v>
      </c>
      <c r="J155" s="72"/>
      <c r="K155" s="72"/>
    </row>
    <row r="156" spans="1:11" ht="19.5" customHeight="1">
      <c r="A156" s="90" t="s">
        <v>669</v>
      </c>
      <c r="B156" s="71">
        <v>9.6999999999999993</v>
      </c>
      <c r="C156" s="72" t="s">
        <v>670</v>
      </c>
      <c r="D156" s="71" t="s">
        <v>671</v>
      </c>
      <c r="E156" s="72" t="s">
        <v>672</v>
      </c>
      <c r="F156" s="73">
        <v>46291</v>
      </c>
      <c r="G156" s="73">
        <v>46298</v>
      </c>
      <c r="H156" s="72" t="s">
        <v>352</v>
      </c>
      <c r="I156" s="72" t="s">
        <v>608</v>
      </c>
      <c r="J156" s="72"/>
      <c r="K156" s="72"/>
    </row>
    <row r="157" spans="1:11" ht="19.5" customHeight="1">
      <c r="A157" s="90" t="s">
        <v>673</v>
      </c>
      <c r="B157" s="71">
        <v>9.8000000000000007</v>
      </c>
      <c r="C157" s="72" t="s">
        <v>674</v>
      </c>
      <c r="D157" s="71" t="s">
        <v>226</v>
      </c>
      <c r="E157" s="72" t="s">
        <v>675</v>
      </c>
      <c r="F157" s="73">
        <v>46296</v>
      </c>
      <c r="G157" s="73">
        <v>46298</v>
      </c>
      <c r="H157" s="72" t="s">
        <v>218</v>
      </c>
      <c r="I157" s="72" t="s">
        <v>611</v>
      </c>
      <c r="J157" s="72"/>
      <c r="K157" s="72"/>
    </row>
    <row r="158" spans="1:11" ht="19.5" customHeight="1">
      <c r="A158" s="79" t="s">
        <v>676</v>
      </c>
      <c r="B158" s="80">
        <v>9</v>
      </c>
      <c r="C158" s="79" t="s">
        <v>677</v>
      </c>
      <c r="D158" s="80" t="s">
        <v>235</v>
      </c>
      <c r="E158" s="72" t="s">
        <v>236</v>
      </c>
      <c r="F158" s="73">
        <v>46298</v>
      </c>
      <c r="G158" s="73">
        <v>46298</v>
      </c>
      <c r="H158" s="81" t="s">
        <v>261</v>
      </c>
      <c r="I158" s="81" t="s">
        <v>614</v>
      </c>
      <c r="J158" s="81" t="s">
        <v>238</v>
      </c>
      <c r="K158" s="72"/>
    </row>
    <row r="159" spans="1:11" ht="19.5" customHeight="1">
      <c r="A159" s="65" t="s">
        <v>678</v>
      </c>
      <c r="B159" s="66" t="s">
        <v>678</v>
      </c>
      <c r="C159" s="65" t="s">
        <v>679</v>
      </c>
      <c r="D159" s="66" t="s">
        <v>359</v>
      </c>
      <c r="E159" s="87" t="s">
        <v>680</v>
      </c>
      <c r="F159" s="73">
        <f>[1]CONFIGURACIÓN!$B$4+184</f>
        <v>46358</v>
      </c>
      <c r="G159" s="73">
        <f>[1]CONFIGURACIÓN!$B$4+193</f>
        <v>46367</v>
      </c>
      <c r="H159" s="81"/>
      <c r="I159" s="81"/>
      <c r="J159" s="81"/>
      <c r="K159" s="72"/>
    </row>
    <row r="160" spans="1:11" ht="19.5" customHeight="1">
      <c r="A160" s="88" t="s">
        <v>681</v>
      </c>
      <c r="B160" s="89" t="s">
        <v>681</v>
      </c>
      <c r="C160" s="88" t="s">
        <v>682</v>
      </c>
      <c r="D160" s="89" t="s">
        <v>255</v>
      </c>
      <c r="E160" s="72" t="s">
        <v>629</v>
      </c>
      <c r="F160" s="73">
        <v>46348</v>
      </c>
      <c r="G160" s="73">
        <v>46348</v>
      </c>
      <c r="H160" s="81"/>
      <c r="I160" s="81"/>
      <c r="J160" s="81"/>
      <c r="K160" s="72"/>
    </row>
    <row r="161" spans="1:11" ht="19.5" customHeight="1">
      <c r="A161" s="88" t="s">
        <v>683</v>
      </c>
      <c r="B161" s="89" t="s">
        <v>683</v>
      </c>
      <c r="C161" s="88" t="s">
        <v>684</v>
      </c>
      <c r="D161" s="89" t="s">
        <v>252</v>
      </c>
      <c r="E161" s="72" t="s">
        <v>632</v>
      </c>
      <c r="F161" s="73">
        <v>46348</v>
      </c>
      <c r="G161" s="73">
        <v>46348</v>
      </c>
      <c r="H161" s="81"/>
      <c r="I161" s="81"/>
      <c r="J161" s="81"/>
      <c r="K161" s="72"/>
    </row>
    <row r="162" spans="1:11" ht="19.5" customHeight="1">
      <c r="A162" s="88" t="s">
        <v>685</v>
      </c>
      <c r="B162" s="89" t="s">
        <v>685</v>
      </c>
      <c r="C162" s="88" t="s">
        <v>686</v>
      </c>
      <c r="D162" s="89" t="s">
        <v>221</v>
      </c>
      <c r="E162" s="72" t="s">
        <v>576</v>
      </c>
      <c r="F162" s="73">
        <v>46348</v>
      </c>
      <c r="G162" s="73">
        <v>46348</v>
      </c>
      <c r="H162" s="81"/>
      <c r="I162" s="81"/>
      <c r="J162" s="81"/>
      <c r="K162" s="72"/>
    </row>
    <row r="163" spans="1:11" ht="19.5" customHeight="1">
      <c r="A163" s="88" t="s">
        <v>687</v>
      </c>
      <c r="B163" s="89" t="s">
        <v>687</v>
      </c>
      <c r="C163" s="88" t="s">
        <v>688</v>
      </c>
      <c r="D163" s="89" t="s">
        <v>226</v>
      </c>
      <c r="E163" s="72" t="s">
        <v>637</v>
      </c>
      <c r="F163" s="73">
        <v>46348</v>
      </c>
      <c r="G163" s="73">
        <v>46348</v>
      </c>
      <c r="H163" s="81"/>
      <c r="I163" s="81"/>
      <c r="J163" s="81"/>
      <c r="K163" s="72"/>
    </row>
    <row r="164" spans="1:11" ht="19.5" customHeight="1">
      <c r="A164" s="88" t="s">
        <v>689</v>
      </c>
      <c r="B164" s="89" t="s">
        <v>689</v>
      </c>
      <c r="C164" s="88" t="s">
        <v>690</v>
      </c>
      <c r="D164" s="89" t="s">
        <v>226</v>
      </c>
      <c r="E164" s="72" t="s">
        <v>582</v>
      </c>
      <c r="F164" s="73">
        <v>46348</v>
      </c>
      <c r="G164" s="73">
        <v>46348</v>
      </c>
      <c r="H164" s="81"/>
      <c r="I164" s="81"/>
      <c r="J164" s="81"/>
      <c r="K164" s="72"/>
    </row>
    <row r="165" spans="1:11" ht="19.5" customHeight="1">
      <c r="A165" s="88" t="s">
        <v>691</v>
      </c>
      <c r="B165" s="89" t="s">
        <v>691</v>
      </c>
      <c r="C165" s="88" t="s">
        <v>692</v>
      </c>
      <c r="D165" s="89" t="s">
        <v>226</v>
      </c>
      <c r="E165" s="72" t="s">
        <v>585</v>
      </c>
      <c r="F165" s="73">
        <v>46348</v>
      </c>
      <c r="G165" s="73">
        <v>46348</v>
      </c>
      <c r="H165" s="81"/>
      <c r="I165" s="81"/>
      <c r="J165" s="81"/>
      <c r="K165" s="72"/>
    </row>
    <row r="166" spans="1:11" ht="19.5" customHeight="1">
      <c r="A166" s="88" t="s">
        <v>693</v>
      </c>
      <c r="B166" s="89" t="s">
        <v>693</v>
      </c>
      <c r="C166" s="88" t="s">
        <v>694</v>
      </c>
      <c r="D166" s="89" t="s">
        <v>255</v>
      </c>
      <c r="E166" s="72" t="s">
        <v>644</v>
      </c>
      <c r="F166" s="73">
        <v>46348</v>
      </c>
      <c r="G166" s="73">
        <v>46348</v>
      </c>
      <c r="H166" s="81"/>
      <c r="I166" s="81"/>
      <c r="J166" s="81"/>
      <c r="K166" s="72"/>
    </row>
    <row r="167" spans="1:11" ht="19.5" customHeight="1">
      <c r="A167" s="79" t="s">
        <v>695</v>
      </c>
      <c r="B167" s="80" t="s">
        <v>696</v>
      </c>
      <c r="C167" s="79" t="s">
        <v>697</v>
      </c>
      <c r="D167" s="80" t="s">
        <v>235</v>
      </c>
      <c r="E167" s="72" t="s">
        <v>236</v>
      </c>
      <c r="F167" s="73">
        <v>46365</v>
      </c>
      <c r="G167" s="73">
        <v>46365</v>
      </c>
      <c r="H167" s="81"/>
      <c r="I167" s="81"/>
      <c r="J167" s="81"/>
      <c r="K167" s="72"/>
    </row>
    <row r="168" spans="1:11" ht="19.5" customHeight="1">
      <c r="A168" s="82" t="s">
        <v>698</v>
      </c>
      <c r="B168" s="83">
        <v>10</v>
      </c>
      <c r="C168" s="82" t="s">
        <v>699</v>
      </c>
      <c r="D168" s="83" t="s">
        <v>359</v>
      </c>
      <c r="E168" s="72" t="s">
        <v>700</v>
      </c>
      <c r="F168" s="73">
        <f>[1]CONFIGURACIÓN!$B$4+184</f>
        <v>46358</v>
      </c>
      <c r="G168" s="73">
        <f>[1]CONFIGURACIÓN!$B$4+193</f>
        <v>46367</v>
      </c>
      <c r="H168" s="82" t="s">
        <v>361</v>
      </c>
      <c r="I168" s="82" t="s">
        <v>701</v>
      </c>
      <c r="J168" s="72"/>
      <c r="K168" s="72"/>
    </row>
    <row r="169" spans="1:11" ht="19.5" customHeight="1">
      <c r="A169" s="90" t="s">
        <v>702</v>
      </c>
      <c r="B169" s="71">
        <v>10.1</v>
      </c>
      <c r="C169" s="72" t="s">
        <v>703</v>
      </c>
      <c r="D169" s="71" t="s">
        <v>182</v>
      </c>
      <c r="E169" s="72" t="s">
        <v>654</v>
      </c>
      <c r="F169" s="73">
        <v>46299</v>
      </c>
      <c r="G169" s="73">
        <v>46303</v>
      </c>
      <c r="H169" s="72" t="s">
        <v>655</v>
      </c>
      <c r="I169" s="72" t="s">
        <v>701</v>
      </c>
      <c r="J169" s="72"/>
      <c r="K169" s="72"/>
    </row>
    <row r="170" spans="1:11" ht="19.5" customHeight="1">
      <c r="A170" s="90" t="s">
        <v>704</v>
      </c>
      <c r="B170" s="71">
        <v>10.199999999999999</v>
      </c>
      <c r="C170" s="72" t="s">
        <v>705</v>
      </c>
      <c r="D170" s="71" t="s">
        <v>255</v>
      </c>
      <c r="E170" s="72" t="s">
        <v>605</v>
      </c>
      <c r="F170" s="73">
        <v>46303</v>
      </c>
      <c r="G170" s="73">
        <v>46303</v>
      </c>
      <c r="H170" s="72" t="s">
        <v>261</v>
      </c>
      <c r="I170" s="72" t="s">
        <v>652</v>
      </c>
      <c r="J170" s="72"/>
      <c r="K170" s="72"/>
    </row>
    <row r="171" spans="1:11" ht="19.5" customHeight="1">
      <c r="A171" s="90" t="s">
        <v>706</v>
      </c>
      <c r="B171" s="71">
        <v>10.3</v>
      </c>
      <c r="C171" s="72" t="s">
        <v>707</v>
      </c>
      <c r="D171" s="71" t="s">
        <v>221</v>
      </c>
      <c r="E171" s="72" t="s">
        <v>660</v>
      </c>
      <c r="F171" s="73">
        <v>46304</v>
      </c>
      <c r="G171" s="73">
        <v>46306</v>
      </c>
      <c r="H171" s="72" t="s">
        <v>380</v>
      </c>
      <c r="I171" s="72" t="s">
        <v>656</v>
      </c>
      <c r="J171" s="72"/>
      <c r="K171" s="72"/>
    </row>
    <row r="172" spans="1:11" ht="19.5" customHeight="1">
      <c r="A172" s="90" t="s">
        <v>708</v>
      </c>
      <c r="B172" s="71">
        <v>10.4</v>
      </c>
      <c r="C172" s="72" t="s">
        <v>709</v>
      </c>
      <c r="D172" s="71" t="s">
        <v>226</v>
      </c>
      <c r="E172" s="72" t="s">
        <v>663</v>
      </c>
      <c r="F172" s="73">
        <v>46307</v>
      </c>
      <c r="G172" s="73">
        <v>46308</v>
      </c>
      <c r="H172" s="72" t="s">
        <v>551</v>
      </c>
      <c r="I172" s="72" t="s">
        <v>658</v>
      </c>
      <c r="J172" s="72"/>
      <c r="K172" s="72"/>
    </row>
    <row r="173" spans="1:11" ht="19.5" customHeight="1">
      <c r="A173" s="90" t="s">
        <v>710</v>
      </c>
      <c r="B173" s="71">
        <v>10.5</v>
      </c>
      <c r="C173" s="72" t="s">
        <v>711</v>
      </c>
      <c r="D173" s="71" t="s">
        <v>255</v>
      </c>
      <c r="E173" s="72" t="s">
        <v>613</v>
      </c>
      <c r="F173" s="73">
        <v>46309</v>
      </c>
      <c r="G173" s="73">
        <v>46309</v>
      </c>
      <c r="H173" s="72" t="s">
        <v>261</v>
      </c>
      <c r="I173" s="72" t="s">
        <v>661</v>
      </c>
      <c r="J173" s="72"/>
      <c r="K173" s="72"/>
    </row>
    <row r="174" spans="1:11" ht="25.5" customHeight="1">
      <c r="A174" s="90" t="s">
        <v>712</v>
      </c>
      <c r="B174" s="71">
        <v>10.6</v>
      </c>
      <c r="C174" s="72" t="s">
        <v>713</v>
      </c>
      <c r="D174" s="71" t="s">
        <v>255</v>
      </c>
      <c r="E174" s="72" t="s">
        <v>668</v>
      </c>
      <c r="F174" s="73">
        <v>46309</v>
      </c>
      <c r="G174" s="73">
        <v>46309</v>
      </c>
      <c r="H174" s="72" t="s">
        <v>558</v>
      </c>
      <c r="I174" s="72" t="s">
        <v>664</v>
      </c>
      <c r="J174" s="72"/>
      <c r="K174" s="72"/>
    </row>
    <row r="175" spans="1:11" ht="19.5" customHeight="1">
      <c r="A175" s="90" t="s">
        <v>714</v>
      </c>
      <c r="B175" s="71">
        <v>10.7</v>
      </c>
      <c r="C175" s="72" t="s">
        <v>715</v>
      </c>
      <c r="D175" s="71" t="s">
        <v>671</v>
      </c>
      <c r="E175" s="72" t="s">
        <v>618</v>
      </c>
      <c r="F175" s="73">
        <v>46309</v>
      </c>
      <c r="G175" s="73">
        <v>46316</v>
      </c>
      <c r="H175" s="72" t="s">
        <v>352</v>
      </c>
      <c r="I175" s="72" t="s">
        <v>666</v>
      </c>
      <c r="J175" s="72"/>
      <c r="K175" s="72"/>
    </row>
    <row r="176" spans="1:11" ht="19.5" customHeight="1">
      <c r="A176" s="90" t="s">
        <v>716</v>
      </c>
      <c r="B176" s="71">
        <v>10.8</v>
      </c>
      <c r="C176" s="72" t="s">
        <v>717</v>
      </c>
      <c r="D176" s="71" t="s">
        <v>226</v>
      </c>
      <c r="E176" s="72" t="s">
        <v>718</v>
      </c>
      <c r="F176" s="73">
        <v>46314</v>
      </c>
      <c r="G176" s="73">
        <v>46316</v>
      </c>
      <c r="H176" s="72" t="s">
        <v>218</v>
      </c>
      <c r="I176" s="72" t="s">
        <v>669</v>
      </c>
      <c r="J176" s="72"/>
      <c r="K176" s="72"/>
    </row>
    <row r="177" spans="1:11" ht="19.5" customHeight="1">
      <c r="A177" s="79" t="s">
        <v>719</v>
      </c>
      <c r="B177" s="80">
        <v>10</v>
      </c>
      <c r="C177" s="79" t="s">
        <v>720</v>
      </c>
      <c r="D177" s="80" t="s">
        <v>235</v>
      </c>
      <c r="E177" s="72" t="s">
        <v>236</v>
      </c>
      <c r="F177" s="73">
        <v>46316</v>
      </c>
      <c r="G177" s="73">
        <v>46316</v>
      </c>
      <c r="H177" s="81" t="s">
        <v>261</v>
      </c>
      <c r="I177" s="81" t="s">
        <v>673</v>
      </c>
      <c r="J177" s="81" t="s">
        <v>238</v>
      </c>
      <c r="K177" s="72"/>
    </row>
    <row r="178" spans="1:11" ht="19.5" customHeight="1">
      <c r="A178" s="65" t="s">
        <v>721</v>
      </c>
      <c r="B178" s="66" t="s">
        <v>721</v>
      </c>
      <c r="C178" s="65" t="s">
        <v>722</v>
      </c>
      <c r="D178" s="66" t="s">
        <v>359</v>
      </c>
      <c r="E178" s="87" t="s">
        <v>723</v>
      </c>
      <c r="F178" s="73">
        <f>[1]CONFIGURACIÓN!$B$4+184</f>
        <v>46358</v>
      </c>
      <c r="G178" s="73">
        <f>[1]CONFIGURACIÓN!$B$4+193</f>
        <v>46367</v>
      </c>
      <c r="H178" s="81"/>
      <c r="I178" s="81"/>
      <c r="J178" s="81"/>
      <c r="K178" s="72"/>
    </row>
    <row r="179" spans="1:11" ht="19.5" customHeight="1">
      <c r="A179" s="88" t="s">
        <v>724</v>
      </c>
      <c r="B179" s="89" t="s">
        <v>724</v>
      </c>
      <c r="C179" s="88" t="s">
        <v>725</v>
      </c>
      <c r="D179" s="89" t="s">
        <v>255</v>
      </c>
      <c r="E179" s="72" t="s">
        <v>629</v>
      </c>
      <c r="F179" s="73">
        <v>46366</v>
      </c>
      <c r="G179" s="73">
        <v>46366</v>
      </c>
      <c r="H179" s="81"/>
      <c r="I179" s="81"/>
      <c r="J179" s="81"/>
      <c r="K179" s="72"/>
    </row>
    <row r="180" spans="1:11" ht="19.5" customHeight="1">
      <c r="A180" s="88" t="s">
        <v>726</v>
      </c>
      <c r="B180" s="89" t="s">
        <v>726</v>
      </c>
      <c r="C180" s="88" t="s">
        <v>727</v>
      </c>
      <c r="D180" s="89" t="s">
        <v>252</v>
      </c>
      <c r="E180" s="72" t="s">
        <v>632</v>
      </c>
      <c r="F180" s="73">
        <v>46366</v>
      </c>
      <c r="G180" s="73">
        <v>46366</v>
      </c>
      <c r="H180" s="81"/>
      <c r="I180" s="81"/>
      <c r="J180" s="81"/>
      <c r="K180" s="72"/>
    </row>
    <row r="181" spans="1:11" ht="19.5" customHeight="1">
      <c r="A181" s="88" t="s">
        <v>728</v>
      </c>
      <c r="B181" s="89" t="s">
        <v>728</v>
      </c>
      <c r="C181" s="88" t="s">
        <v>729</v>
      </c>
      <c r="D181" s="89" t="s">
        <v>221</v>
      </c>
      <c r="E181" s="72" t="s">
        <v>576</v>
      </c>
      <c r="F181" s="73">
        <v>46366</v>
      </c>
      <c r="G181" s="73">
        <v>46366</v>
      </c>
      <c r="H181" s="81"/>
      <c r="I181" s="81"/>
      <c r="J181" s="81"/>
      <c r="K181" s="72"/>
    </row>
    <row r="182" spans="1:11" ht="19.5" customHeight="1">
      <c r="A182" s="88" t="s">
        <v>730</v>
      </c>
      <c r="B182" s="89" t="s">
        <v>730</v>
      </c>
      <c r="C182" s="88" t="s">
        <v>731</v>
      </c>
      <c r="D182" s="89" t="s">
        <v>226</v>
      </c>
      <c r="E182" s="72" t="s">
        <v>637</v>
      </c>
      <c r="F182" s="73">
        <v>46366</v>
      </c>
      <c r="G182" s="73">
        <v>46366</v>
      </c>
      <c r="H182" s="81"/>
      <c r="I182" s="81"/>
      <c r="J182" s="81"/>
      <c r="K182" s="72"/>
    </row>
    <row r="183" spans="1:11" ht="19.5" customHeight="1">
      <c r="A183" s="88" t="s">
        <v>732</v>
      </c>
      <c r="B183" s="89" t="s">
        <v>732</v>
      </c>
      <c r="C183" s="88" t="s">
        <v>733</v>
      </c>
      <c r="D183" s="89" t="s">
        <v>226</v>
      </c>
      <c r="E183" s="72" t="s">
        <v>582</v>
      </c>
      <c r="F183" s="73">
        <v>46366</v>
      </c>
      <c r="G183" s="73">
        <v>46366</v>
      </c>
      <c r="H183" s="81"/>
      <c r="I183" s="81"/>
      <c r="J183" s="81"/>
      <c r="K183" s="72"/>
    </row>
    <row r="184" spans="1:11" ht="19.5" customHeight="1">
      <c r="A184" s="88" t="s">
        <v>734</v>
      </c>
      <c r="B184" s="89" t="s">
        <v>734</v>
      </c>
      <c r="C184" s="88" t="s">
        <v>735</v>
      </c>
      <c r="D184" s="89" t="s">
        <v>226</v>
      </c>
      <c r="E184" s="72" t="s">
        <v>585</v>
      </c>
      <c r="F184" s="73">
        <v>46366</v>
      </c>
      <c r="G184" s="73">
        <v>46366</v>
      </c>
      <c r="H184" s="81"/>
      <c r="I184" s="81"/>
      <c r="J184" s="81"/>
      <c r="K184" s="72"/>
    </row>
    <row r="185" spans="1:11" ht="19.5" customHeight="1">
      <c r="A185" s="88" t="s">
        <v>736</v>
      </c>
      <c r="B185" s="89" t="s">
        <v>736</v>
      </c>
      <c r="C185" s="88" t="s">
        <v>737</v>
      </c>
      <c r="D185" s="89" t="s">
        <v>255</v>
      </c>
      <c r="E185" s="72" t="s">
        <v>644</v>
      </c>
      <c r="F185" s="73">
        <v>46366</v>
      </c>
      <c r="G185" s="73">
        <v>46366</v>
      </c>
      <c r="H185" s="81"/>
      <c r="I185" s="81"/>
      <c r="J185" s="81"/>
      <c r="K185" s="72"/>
    </row>
    <row r="186" spans="1:11" ht="19.5" customHeight="1">
      <c r="A186" s="79" t="s">
        <v>738</v>
      </c>
      <c r="B186" s="80" t="s">
        <v>739</v>
      </c>
      <c r="C186" s="79" t="s">
        <v>740</v>
      </c>
      <c r="D186" s="80" t="s">
        <v>235</v>
      </c>
      <c r="E186" s="72" t="s">
        <v>236</v>
      </c>
      <c r="F186" s="73">
        <v>46383</v>
      </c>
      <c r="G186" s="73">
        <v>46383</v>
      </c>
      <c r="H186" s="81"/>
      <c r="I186" s="81"/>
      <c r="J186" s="81"/>
      <c r="K186" s="72"/>
    </row>
    <row r="187" spans="1:11" ht="19.5" customHeight="1">
      <c r="A187" s="82" t="s">
        <v>741</v>
      </c>
      <c r="B187" s="83">
        <v>11</v>
      </c>
      <c r="C187" s="82" t="s">
        <v>742</v>
      </c>
      <c r="D187" s="83" t="s">
        <v>359</v>
      </c>
      <c r="E187" s="72" t="s">
        <v>743</v>
      </c>
      <c r="F187" s="73">
        <f>[1]CONFIGURACIÓN!$B$4+184</f>
        <v>46358</v>
      </c>
      <c r="G187" s="73">
        <f>[1]CONFIGURACIÓN!$B$4+193</f>
        <v>46367</v>
      </c>
      <c r="H187" s="82" t="s">
        <v>361</v>
      </c>
      <c r="I187" s="82" t="s">
        <v>744</v>
      </c>
      <c r="J187" s="72"/>
      <c r="K187" s="72"/>
    </row>
    <row r="188" spans="1:11" ht="19.5" customHeight="1">
      <c r="A188" s="90" t="s">
        <v>745</v>
      </c>
      <c r="B188" s="71">
        <v>11.1</v>
      </c>
      <c r="C188" s="72" t="s">
        <v>746</v>
      </c>
      <c r="D188" s="71" t="s">
        <v>182</v>
      </c>
      <c r="E188" s="72" t="s">
        <v>654</v>
      </c>
      <c r="F188" s="73">
        <v>46317</v>
      </c>
      <c r="G188" s="73">
        <v>46321</v>
      </c>
      <c r="H188" s="72" t="s">
        <v>655</v>
      </c>
      <c r="I188" s="72" t="s">
        <v>744</v>
      </c>
      <c r="J188" s="72"/>
      <c r="K188" s="72"/>
    </row>
    <row r="189" spans="1:11" ht="19.5" customHeight="1">
      <c r="A189" s="90" t="s">
        <v>747</v>
      </c>
      <c r="B189" s="71">
        <v>11.2</v>
      </c>
      <c r="C189" s="72" t="s">
        <v>748</v>
      </c>
      <c r="D189" s="71" t="s">
        <v>255</v>
      </c>
      <c r="E189" s="72" t="s">
        <v>605</v>
      </c>
      <c r="F189" s="73">
        <v>46321</v>
      </c>
      <c r="G189" s="73">
        <v>46321</v>
      </c>
      <c r="H189" s="72" t="s">
        <v>261</v>
      </c>
      <c r="I189" s="72" t="s">
        <v>702</v>
      </c>
      <c r="J189" s="72"/>
      <c r="K189" s="72"/>
    </row>
    <row r="190" spans="1:11" ht="19.5" customHeight="1">
      <c r="A190" s="90" t="s">
        <v>749</v>
      </c>
      <c r="B190" s="71">
        <v>11.3</v>
      </c>
      <c r="C190" s="72" t="s">
        <v>750</v>
      </c>
      <c r="D190" s="71" t="s">
        <v>221</v>
      </c>
      <c r="E190" s="72" t="s">
        <v>660</v>
      </c>
      <c r="F190" s="73">
        <v>46322</v>
      </c>
      <c r="G190" s="73">
        <v>46324</v>
      </c>
      <c r="H190" s="72" t="s">
        <v>380</v>
      </c>
      <c r="I190" s="72" t="s">
        <v>704</v>
      </c>
      <c r="J190" s="72"/>
      <c r="K190" s="72"/>
    </row>
    <row r="191" spans="1:11" ht="19.5" customHeight="1">
      <c r="A191" s="90" t="s">
        <v>751</v>
      </c>
      <c r="B191" s="71">
        <v>11.4</v>
      </c>
      <c r="C191" s="72" t="s">
        <v>752</v>
      </c>
      <c r="D191" s="71" t="s">
        <v>226</v>
      </c>
      <c r="E191" s="72" t="s">
        <v>663</v>
      </c>
      <c r="F191" s="73">
        <v>46325</v>
      </c>
      <c r="G191" s="73">
        <v>46326</v>
      </c>
      <c r="H191" s="72" t="s">
        <v>551</v>
      </c>
      <c r="I191" s="72" t="s">
        <v>706</v>
      </c>
      <c r="J191" s="72"/>
      <c r="K191" s="72"/>
    </row>
    <row r="192" spans="1:11" ht="19.5" customHeight="1">
      <c r="A192" s="90" t="s">
        <v>753</v>
      </c>
      <c r="B192" s="71">
        <v>11.5</v>
      </c>
      <c r="C192" s="72" t="s">
        <v>754</v>
      </c>
      <c r="D192" s="71" t="s">
        <v>255</v>
      </c>
      <c r="E192" s="72" t="s">
        <v>613</v>
      </c>
      <c r="F192" s="73">
        <v>46327</v>
      </c>
      <c r="G192" s="73">
        <v>46327</v>
      </c>
      <c r="H192" s="72" t="s">
        <v>261</v>
      </c>
      <c r="I192" s="72" t="s">
        <v>708</v>
      </c>
      <c r="J192" s="72"/>
      <c r="K192" s="72"/>
    </row>
    <row r="193" spans="1:11" ht="19.5" customHeight="1">
      <c r="A193" s="90" t="s">
        <v>755</v>
      </c>
      <c r="B193" s="71">
        <v>11.6</v>
      </c>
      <c r="C193" s="72" t="s">
        <v>756</v>
      </c>
      <c r="D193" s="71" t="s">
        <v>255</v>
      </c>
      <c r="E193" s="72" t="s">
        <v>668</v>
      </c>
      <c r="F193" s="73">
        <v>46327</v>
      </c>
      <c r="G193" s="73">
        <v>46327</v>
      </c>
      <c r="H193" s="72" t="s">
        <v>558</v>
      </c>
      <c r="I193" s="72" t="s">
        <v>710</v>
      </c>
      <c r="J193" s="72"/>
      <c r="K193" s="72"/>
    </row>
    <row r="194" spans="1:11" ht="19.5" customHeight="1">
      <c r="A194" s="90" t="s">
        <v>757</v>
      </c>
      <c r="B194" s="71">
        <v>11.7</v>
      </c>
      <c r="C194" s="72" t="s">
        <v>758</v>
      </c>
      <c r="D194" s="71" t="s">
        <v>671</v>
      </c>
      <c r="E194" s="72" t="s">
        <v>759</v>
      </c>
      <c r="F194" s="73">
        <v>46327</v>
      </c>
      <c r="G194" s="73">
        <v>46334</v>
      </c>
      <c r="H194" s="72" t="s">
        <v>352</v>
      </c>
      <c r="I194" s="72" t="s">
        <v>712</v>
      </c>
      <c r="J194" s="72"/>
      <c r="K194" s="72"/>
    </row>
    <row r="195" spans="1:11" ht="19.5" customHeight="1">
      <c r="A195" s="90" t="s">
        <v>760</v>
      </c>
      <c r="B195" s="71">
        <v>11.8</v>
      </c>
      <c r="C195" s="72" t="s">
        <v>761</v>
      </c>
      <c r="D195" s="71" t="s">
        <v>221</v>
      </c>
      <c r="E195" s="72" t="s">
        <v>762</v>
      </c>
      <c r="F195" s="73">
        <v>46332</v>
      </c>
      <c r="G195" s="73">
        <v>46334</v>
      </c>
      <c r="H195" s="72" t="s">
        <v>218</v>
      </c>
      <c r="I195" s="72" t="s">
        <v>714</v>
      </c>
      <c r="J195" s="72"/>
      <c r="K195" s="72"/>
    </row>
    <row r="196" spans="1:11" ht="19.5" customHeight="1">
      <c r="A196" s="90" t="s">
        <v>763</v>
      </c>
      <c r="B196" s="71">
        <v>11.9</v>
      </c>
      <c r="C196" s="72" t="s">
        <v>764</v>
      </c>
      <c r="D196" s="71" t="s">
        <v>226</v>
      </c>
      <c r="E196" s="72" t="s">
        <v>764</v>
      </c>
      <c r="F196" s="73">
        <v>46333</v>
      </c>
      <c r="G196" s="73">
        <v>46334</v>
      </c>
      <c r="H196" s="72" t="s">
        <v>765</v>
      </c>
      <c r="I196" s="72" t="s">
        <v>716</v>
      </c>
      <c r="J196" s="72"/>
      <c r="K196" s="72"/>
    </row>
    <row r="197" spans="1:11" ht="19.5" customHeight="1">
      <c r="A197" s="79" t="s">
        <v>766</v>
      </c>
      <c r="B197" s="80">
        <v>11</v>
      </c>
      <c r="C197" s="79" t="s">
        <v>767</v>
      </c>
      <c r="D197" s="80" t="s">
        <v>235</v>
      </c>
      <c r="E197" s="72" t="s">
        <v>236</v>
      </c>
      <c r="F197" s="73">
        <v>46334</v>
      </c>
      <c r="G197" s="73">
        <v>46334</v>
      </c>
      <c r="H197" s="81" t="s">
        <v>765</v>
      </c>
      <c r="I197" s="81" t="s">
        <v>768</v>
      </c>
      <c r="J197" s="79" t="s">
        <v>238</v>
      </c>
      <c r="K197" s="72"/>
    </row>
    <row r="198" spans="1:11" ht="19.5" customHeight="1">
      <c r="A198" s="65" t="s">
        <v>769</v>
      </c>
      <c r="B198" s="66" t="s">
        <v>769</v>
      </c>
      <c r="C198" s="65" t="s">
        <v>770</v>
      </c>
      <c r="D198" s="66" t="s">
        <v>359</v>
      </c>
      <c r="E198" s="87" t="s">
        <v>771</v>
      </c>
      <c r="F198" s="73">
        <f>[1]CONFIGURACIÓN!$B$4+184</f>
        <v>46358</v>
      </c>
      <c r="G198" s="73">
        <f>[1]CONFIGURACIÓN!$B$4+193</f>
        <v>46367</v>
      </c>
      <c r="H198" s="81"/>
      <c r="I198" s="81"/>
      <c r="J198" s="79"/>
      <c r="K198" s="72"/>
    </row>
    <row r="199" spans="1:11" ht="19.5" customHeight="1">
      <c r="A199" s="88" t="s">
        <v>772</v>
      </c>
      <c r="B199" s="89" t="s">
        <v>772</v>
      </c>
      <c r="C199" s="88" t="s">
        <v>773</v>
      </c>
      <c r="D199" s="89" t="s">
        <v>255</v>
      </c>
      <c r="E199" s="72" t="s">
        <v>629</v>
      </c>
      <c r="F199" s="73">
        <v>46384</v>
      </c>
      <c r="G199" s="73">
        <v>46384</v>
      </c>
      <c r="H199" s="81"/>
      <c r="I199" s="81"/>
      <c r="J199" s="79"/>
      <c r="K199" s="72"/>
    </row>
    <row r="200" spans="1:11" ht="19.5" customHeight="1">
      <c r="A200" s="88" t="s">
        <v>774</v>
      </c>
      <c r="B200" s="89" t="s">
        <v>774</v>
      </c>
      <c r="C200" s="88" t="s">
        <v>775</v>
      </c>
      <c r="D200" s="89" t="s">
        <v>252</v>
      </c>
      <c r="E200" s="72" t="s">
        <v>776</v>
      </c>
      <c r="F200" s="73">
        <v>46384</v>
      </c>
      <c r="G200" s="73">
        <v>46384</v>
      </c>
      <c r="H200" s="81"/>
      <c r="I200" s="81"/>
      <c r="J200" s="79"/>
      <c r="K200" s="72"/>
    </row>
    <row r="201" spans="1:11" ht="19.5" customHeight="1">
      <c r="A201" s="88" t="s">
        <v>777</v>
      </c>
      <c r="B201" s="89" t="s">
        <v>777</v>
      </c>
      <c r="C201" s="88" t="s">
        <v>778</v>
      </c>
      <c r="D201" s="89" t="s">
        <v>221</v>
      </c>
      <c r="E201" s="72" t="s">
        <v>576</v>
      </c>
      <c r="F201" s="73">
        <v>46384</v>
      </c>
      <c r="G201" s="73">
        <v>46384</v>
      </c>
      <c r="H201" s="81"/>
      <c r="I201" s="81"/>
      <c r="J201" s="79"/>
      <c r="K201" s="72"/>
    </row>
    <row r="202" spans="1:11" ht="19.5" customHeight="1">
      <c r="A202" s="88" t="s">
        <v>779</v>
      </c>
      <c r="B202" s="89" t="s">
        <v>779</v>
      </c>
      <c r="C202" s="88" t="s">
        <v>780</v>
      </c>
      <c r="D202" s="89" t="s">
        <v>226</v>
      </c>
      <c r="E202" s="72" t="s">
        <v>637</v>
      </c>
      <c r="F202" s="73">
        <v>46384</v>
      </c>
      <c r="G202" s="73">
        <v>46384</v>
      </c>
      <c r="H202" s="81"/>
      <c r="I202" s="81"/>
      <c r="J202" s="79"/>
      <c r="K202" s="72"/>
    </row>
    <row r="203" spans="1:11" ht="19.5" customHeight="1">
      <c r="A203" s="88" t="s">
        <v>781</v>
      </c>
      <c r="B203" s="89" t="s">
        <v>781</v>
      </c>
      <c r="C203" s="88" t="s">
        <v>782</v>
      </c>
      <c r="D203" s="89" t="s">
        <v>226</v>
      </c>
      <c r="E203" s="72" t="s">
        <v>582</v>
      </c>
      <c r="F203" s="73">
        <v>46384</v>
      </c>
      <c r="G203" s="73">
        <v>46384</v>
      </c>
      <c r="H203" s="81"/>
      <c r="I203" s="81"/>
      <c r="J203" s="79"/>
      <c r="K203" s="72"/>
    </row>
    <row r="204" spans="1:11" ht="19.5" customHeight="1">
      <c r="A204" s="88" t="s">
        <v>783</v>
      </c>
      <c r="B204" s="89" t="s">
        <v>783</v>
      </c>
      <c r="C204" s="88" t="s">
        <v>784</v>
      </c>
      <c r="D204" s="89" t="s">
        <v>226</v>
      </c>
      <c r="E204" s="72" t="s">
        <v>585</v>
      </c>
      <c r="F204" s="73">
        <v>46384</v>
      </c>
      <c r="G204" s="73">
        <v>46384</v>
      </c>
      <c r="H204" s="81"/>
      <c r="I204" s="81"/>
      <c r="J204" s="79"/>
      <c r="K204" s="72"/>
    </row>
    <row r="205" spans="1:11" ht="19.5" customHeight="1">
      <c r="A205" s="88" t="s">
        <v>785</v>
      </c>
      <c r="B205" s="89" t="s">
        <v>785</v>
      </c>
      <c r="C205" s="88" t="s">
        <v>786</v>
      </c>
      <c r="D205" s="89" t="s">
        <v>255</v>
      </c>
      <c r="E205" s="72" t="s">
        <v>644</v>
      </c>
      <c r="F205" s="73">
        <v>46384</v>
      </c>
      <c r="G205" s="73">
        <v>46384</v>
      </c>
      <c r="H205" s="81"/>
      <c r="I205" s="81"/>
      <c r="J205" s="79"/>
      <c r="K205" s="72"/>
    </row>
    <row r="206" spans="1:11" ht="19.5" customHeight="1">
      <c r="A206" s="79" t="s">
        <v>787</v>
      </c>
      <c r="B206" s="80" t="s">
        <v>788</v>
      </c>
      <c r="C206" s="79" t="s">
        <v>789</v>
      </c>
      <c r="D206" s="80" t="s">
        <v>235</v>
      </c>
      <c r="E206" s="72" t="s">
        <v>236</v>
      </c>
      <c r="F206" s="73">
        <v>46401</v>
      </c>
      <c r="G206" s="73">
        <v>46401</v>
      </c>
      <c r="H206" s="81"/>
      <c r="I206" s="81"/>
      <c r="J206" s="79"/>
      <c r="K206" s="72"/>
    </row>
    <row r="207" spans="1:11" ht="19.5" customHeight="1">
      <c r="A207" s="82" t="s">
        <v>790</v>
      </c>
      <c r="B207" s="83">
        <v>11</v>
      </c>
      <c r="C207" s="82" t="s">
        <v>791</v>
      </c>
      <c r="D207" s="83" t="s">
        <v>359</v>
      </c>
      <c r="E207" s="72" t="s">
        <v>792</v>
      </c>
      <c r="F207" s="73">
        <f>[1]CONFIGURACIÓN!$B$4+184</f>
        <v>46358</v>
      </c>
      <c r="G207" s="73">
        <f>[1]CONFIGURACIÓN!$B$4+193</f>
        <v>46367</v>
      </c>
      <c r="H207" s="81" t="s">
        <v>361</v>
      </c>
      <c r="I207" s="81" t="s">
        <v>793</v>
      </c>
      <c r="J207" s="79"/>
      <c r="K207" s="72"/>
    </row>
    <row r="208" spans="1:11" ht="19.5" customHeight="1">
      <c r="A208" s="91" t="s">
        <v>794</v>
      </c>
      <c r="B208" s="92">
        <v>11</v>
      </c>
      <c r="C208" s="93" t="s">
        <v>795</v>
      </c>
      <c r="D208" s="92" t="s">
        <v>255</v>
      </c>
      <c r="E208" s="72" t="s">
        <v>536</v>
      </c>
      <c r="F208" s="73">
        <v>46335</v>
      </c>
      <c r="G208" s="73">
        <v>46335</v>
      </c>
      <c r="H208" s="81" t="s">
        <v>223</v>
      </c>
      <c r="I208" s="81" t="s">
        <v>793</v>
      </c>
      <c r="J208" s="79"/>
      <c r="K208" s="72"/>
    </row>
    <row r="209" spans="1:11" ht="19.5" customHeight="1">
      <c r="A209" s="91" t="s">
        <v>796</v>
      </c>
      <c r="B209" s="92">
        <v>11</v>
      </c>
      <c r="C209" s="93" t="s">
        <v>797</v>
      </c>
      <c r="D209" s="92" t="s">
        <v>221</v>
      </c>
      <c r="E209" s="72" t="s">
        <v>599</v>
      </c>
      <c r="F209" s="73">
        <v>46336</v>
      </c>
      <c r="G209" s="73">
        <v>46338</v>
      </c>
      <c r="H209" s="81" t="s">
        <v>369</v>
      </c>
      <c r="I209" s="81" t="s">
        <v>798</v>
      </c>
      <c r="J209" s="79"/>
      <c r="K209" s="72"/>
    </row>
    <row r="210" spans="1:11" ht="19.5" customHeight="1">
      <c r="A210" s="91" t="s">
        <v>799</v>
      </c>
      <c r="B210" s="92">
        <v>11</v>
      </c>
      <c r="C210" s="93" t="s">
        <v>800</v>
      </c>
      <c r="D210" s="92" t="s">
        <v>226</v>
      </c>
      <c r="E210" s="72" t="s">
        <v>801</v>
      </c>
      <c r="F210" s="73">
        <v>46339</v>
      </c>
      <c r="G210" s="73">
        <v>46340</v>
      </c>
      <c r="H210" s="81" t="s">
        <v>373</v>
      </c>
      <c r="I210" s="81" t="s">
        <v>802</v>
      </c>
      <c r="J210" s="79"/>
      <c r="K210" s="72"/>
    </row>
    <row r="211" spans="1:11" ht="19.5" customHeight="1">
      <c r="A211" s="91" t="s">
        <v>803</v>
      </c>
      <c r="B211" s="92">
        <v>11</v>
      </c>
      <c r="C211" s="93" t="s">
        <v>804</v>
      </c>
      <c r="D211" s="92" t="s">
        <v>255</v>
      </c>
      <c r="E211" s="72" t="s">
        <v>605</v>
      </c>
      <c r="F211" s="73">
        <v>46341</v>
      </c>
      <c r="G211" s="73">
        <v>46341</v>
      </c>
      <c r="H211" s="81" t="s">
        <v>261</v>
      </c>
      <c r="I211" s="81" t="s">
        <v>805</v>
      </c>
      <c r="J211" s="79"/>
      <c r="K211" s="72"/>
    </row>
    <row r="212" spans="1:11" ht="19.5" customHeight="1">
      <c r="A212" s="91" t="s">
        <v>806</v>
      </c>
      <c r="B212" s="92">
        <v>11</v>
      </c>
      <c r="C212" s="93" t="s">
        <v>807</v>
      </c>
      <c r="D212" s="92" t="s">
        <v>221</v>
      </c>
      <c r="E212" s="72" t="s">
        <v>660</v>
      </c>
      <c r="F212" s="73">
        <v>46342</v>
      </c>
      <c r="G212" s="73">
        <v>46344</v>
      </c>
      <c r="H212" s="81" t="s">
        <v>380</v>
      </c>
      <c r="I212" s="81" t="s">
        <v>808</v>
      </c>
      <c r="J212" s="79"/>
      <c r="K212" s="72"/>
    </row>
    <row r="213" spans="1:11" ht="19.5" customHeight="1">
      <c r="A213" s="91" t="s">
        <v>809</v>
      </c>
      <c r="B213" s="92">
        <v>11</v>
      </c>
      <c r="C213" s="93" t="s">
        <v>810</v>
      </c>
      <c r="D213" s="92" t="s">
        <v>226</v>
      </c>
      <c r="E213" s="72" t="s">
        <v>663</v>
      </c>
      <c r="F213" s="73">
        <v>46345</v>
      </c>
      <c r="G213" s="73">
        <v>46346</v>
      </c>
      <c r="H213" s="81" t="s">
        <v>551</v>
      </c>
      <c r="I213" s="81" t="s">
        <v>811</v>
      </c>
      <c r="J213" s="79"/>
      <c r="K213" s="72"/>
    </row>
    <row r="214" spans="1:11" ht="25.5" customHeight="1">
      <c r="A214" s="91" t="s">
        <v>812</v>
      </c>
      <c r="B214" s="92">
        <v>11</v>
      </c>
      <c r="C214" s="93" t="s">
        <v>813</v>
      </c>
      <c r="D214" s="92" t="s">
        <v>255</v>
      </c>
      <c r="E214" s="72" t="s">
        <v>613</v>
      </c>
      <c r="F214" s="73">
        <v>46347</v>
      </c>
      <c r="G214" s="73">
        <v>46347</v>
      </c>
      <c r="H214" s="81" t="s">
        <v>261</v>
      </c>
      <c r="I214" s="81" t="s">
        <v>814</v>
      </c>
      <c r="J214" s="79"/>
      <c r="K214" s="72"/>
    </row>
    <row r="215" spans="1:11" ht="19.5" customHeight="1">
      <c r="A215" s="91" t="s">
        <v>815</v>
      </c>
      <c r="B215" s="92">
        <v>11</v>
      </c>
      <c r="C215" s="93" t="s">
        <v>816</v>
      </c>
      <c r="D215" s="92" t="s">
        <v>255</v>
      </c>
      <c r="E215" s="72" t="s">
        <v>668</v>
      </c>
      <c r="F215" s="73">
        <v>46347</v>
      </c>
      <c r="G215" s="73">
        <v>46347</v>
      </c>
      <c r="H215" s="81" t="s">
        <v>558</v>
      </c>
      <c r="I215" s="81" t="s">
        <v>817</v>
      </c>
      <c r="J215" s="79"/>
      <c r="K215" s="72"/>
    </row>
    <row r="216" spans="1:11" ht="19.5" customHeight="1">
      <c r="A216" s="91" t="s">
        <v>818</v>
      </c>
      <c r="B216" s="92">
        <v>11</v>
      </c>
      <c r="C216" s="93" t="s">
        <v>819</v>
      </c>
      <c r="D216" s="92" t="s">
        <v>671</v>
      </c>
      <c r="E216" s="72" t="s">
        <v>759</v>
      </c>
      <c r="F216" s="73">
        <v>46348</v>
      </c>
      <c r="G216" s="73">
        <v>46352</v>
      </c>
      <c r="H216" s="81" t="s">
        <v>352</v>
      </c>
      <c r="I216" s="81" t="s">
        <v>820</v>
      </c>
      <c r="J216" s="79"/>
      <c r="K216" s="72"/>
    </row>
    <row r="217" spans="1:11" ht="19.5" customHeight="1">
      <c r="A217" s="91" t="s">
        <v>821</v>
      </c>
      <c r="B217" s="92">
        <v>11</v>
      </c>
      <c r="C217" s="93" t="s">
        <v>822</v>
      </c>
      <c r="D217" s="92" t="s">
        <v>226</v>
      </c>
      <c r="E217" s="72" t="s">
        <v>823</v>
      </c>
      <c r="F217" s="73">
        <v>46350</v>
      </c>
      <c r="G217" s="73">
        <v>46352</v>
      </c>
      <c r="H217" s="81" t="s">
        <v>218</v>
      </c>
      <c r="I217" s="81" t="s">
        <v>824</v>
      </c>
      <c r="J217" s="79"/>
      <c r="K217" s="72"/>
    </row>
    <row r="218" spans="1:11" ht="19.5" customHeight="1">
      <c r="A218" s="91" t="s">
        <v>825</v>
      </c>
      <c r="B218" s="92">
        <v>11</v>
      </c>
      <c r="C218" s="93" t="s">
        <v>826</v>
      </c>
      <c r="D218" s="92" t="s">
        <v>235</v>
      </c>
      <c r="E218" s="72" t="s">
        <v>236</v>
      </c>
      <c r="F218" s="73">
        <v>46352</v>
      </c>
      <c r="G218" s="73">
        <v>46352</v>
      </c>
      <c r="H218" s="81" t="s">
        <v>261</v>
      </c>
      <c r="I218" s="81" t="s">
        <v>827</v>
      </c>
      <c r="J218" s="79" t="s">
        <v>238</v>
      </c>
      <c r="K218" s="72"/>
    </row>
    <row r="219" spans="1:11" ht="19.5" customHeight="1">
      <c r="A219" s="65" t="s">
        <v>828</v>
      </c>
      <c r="B219" s="66" t="s">
        <v>828</v>
      </c>
      <c r="C219" s="65" t="s">
        <v>829</v>
      </c>
      <c r="D219" s="66" t="s">
        <v>359</v>
      </c>
      <c r="E219" s="87" t="s">
        <v>830</v>
      </c>
      <c r="F219" s="73">
        <f>[1]CONFIGURACIÓN!$B$4+184</f>
        <v>46358</v>
      </c>
      <c r="G219" s="73">
        <f>[1]CONFIGURACIÓN!$B$4+193</f>
        <v>46367</v>
      </c>
      <c r="H219" s="81"/>
      <c r="I219" s="81"/>
      <c r="J219" s="79"/>
      <c r="K219" s="72"/>
    </row>
    <row r="220" spans="1:11" ht="19.5" customHeight="1">
      <c r="A220" s="88" t="s">
        <v>831</v>
      </c>
      <c r="B220" s="89" t="s">
        <v>831</v>
      </c>
      <c r="C220" s="88" t="s">
        <v>832</v>
      </c>
      <c r="D220" s="89" t="s">
        <v>255</v>
      </c>
      <c r="E220" s="72" t="s">
        <v>629</v>
      </c>
      <c r="F220" s="73">
        <v>46402</v>
      </c>
      <c r="G220" s="73">
        <v>46402</v>
      </c>
      <c r="H220" s="81"/>
      <c r="I220" s="81"/>
      <c r="J220" s="79"/>
      <c r="K220" s="72"/>
    </row>
    <row r="221" spans="1:11" ht="19.5" customHeight="1">
      <c r="A221" s="88" t="s">
        <v>833</v>
      </c>
      <c r="B221" s="89" t="s">
        <v>833</v>
      </c>
      <c r="C221" s="88" t="s">
        <v>834</v>
      </c>
      <c r="D221" s="89" t="s">
        <v>252</v>
      </c>
      <c r="E221" s="72" t="s">
        <v>776</v>
      </c>
      <c r="F221" s="73">
        <v>46402</v>
      </c>
      <c r="G221" s="73">
        <v>46402</v>
      </c>
      <c r="H221" s="81"/>
      <c r="I221" s="81"/>
      <c r="J221" s="79"/>
      <c r="K221" s="72"/>
    </row>
    <row r="222" spans="1:11" ht="19.5" customHeight="1">
      <c r="A222" s="88" t="s">
        <v>835</v>
      </c>
      <c r="B222" s="89" t="s">
        <v>835</v>
      </c>
      <c r="C222" s="88" t="s">
        <v>836</v>
      </c>
      <c r="D222" s="89" t="s">
        <v>221</v>
      </c>
      <c r="E222" s="72" t="s">
        <v>576</v>
      </c>
      <c r="F222" s="73">
        <v>46402</v>
      </c>
      <c r="G222" s="73">
        <v>46402</v>
      </c>
      <c r="H222" s="81"/>
      <c r="I222" s="81"/>
      <c r="J222" s="79"/>
      <c r="K222" s="72"/>
    </row>
    <row r="223" spans="1:11" ht="19.5" customHeight="1">
      <c r="A223" s="88" t="s">
        <v>837</v>
      </c>
      <c r="B223" s="89" t="s">
        <v>837</v>
      </c>
      <c r="C223" s="88" t="s">
        <v>838</v>
      </c>
      <c r="D223" s="89" t="s">
        <v>226</v>
      </c>
      <c r="E223" s="72" t="s">
        <v>637</v>
      </c>
      <c r="F223" s="73">
        <v>46402</v>
      </c>
      <c r="G223" s="73">
        <v>46402</v>
      </c>
      <c r="H223" s="81"/>
      <c r="I223" s="81"/>
      <c r="J223" s="79"/>
      <c r="K223" s="72"/>
    </row>
    <row r="224" spans="1:11" ht="19.5" customHeight="1">
      <c r="A224" s="88" t="s">
        <v>839</v>
      </c>
      <c r="B224" s="89" t="s">
        <v>839</v>
      </c>
      <c r="C224" s="88" t="s">
        <v>840</v>
      </c>
      <c r="D224" s="89" t="s">
        <v>226</v>
      </c>
      <c r="E224" s="72" t="s">
        <v>582</v>
      </c>
      <c r="F224" s="73">
        <v>46402</v>
      </c>
      <c r="G224" s="73">
        <v>46402</v>
      </c>
      <c r="H224" s="81"/>
      <c r="I224" s="81"/>
      <c r="J224" s="79"/>
      <c r="K224" s="72"/>
    </row>
    <row r="225" spans="1:11" ht="19.5" customHeight="1">
      <c r="A225" s="88" t="s">
        <v>841</v>
      </c>
      <c r="B225" s="89" t="s">
        <v>841</v>
      </c>
      <c r="C225" s="88" t="s">
        <v>842</v>
      </c>
      <c r="D225" s="89" t="s">
        <v>226</v>
      </c>
      <c r="E225" s="72" t="s">
        <v>585</v>
      </c>
      <c r="F225" s="73">
        <v>46402</v>
      </c>
      <c r="G225" s="73">
        <v>46402</v>
      </c>
      <c r="H225" s="81"/>
      <c r="I225" s="81"/>
      <c r="J225" s="79"/>
      <c r="K225" s="72"/>
    </row>
    <row r="226" spans="1:11" ht="19.5" customHeight="1">
      <c r="A226" s="88" t="s">
        <v>843</v>
      </c>
      <c r="B226" s="89" t="s">
        <v>843</v>
      </c>
      <c r="C226" s="88" t="s">
        <v>844</v>
      </c>
      <c r="D226" s="89" t="s">
        <v>255</v>
      </c>
      <c r="E226" s="72" t="s">
        <v>644</v>
      </c>
      <c r="F226" s="73">
        <v>46402</v>
      </c>
      <c r="G226" s="73">
        <v>46402</v>
      </c>
      <c r="H226" s="81"/>
      <c r="I226" s="81"/>
      <c r="J226" s="79"/>
      <c r="K226" s="72"/>
    </row>
    <row r="227" spans="1:11" ht="19.5" customHeight="1">
      <c r="A227" s="79" t="s">
        <v>845</v>
      </c>
      <c r="B227" s="80" t="s">
        <v>846</v>
      </c>
      <c r="C227" s="79" t="s">
        <v>847</v>
      </c>
      <c r="D227" s="80" t="s">
        <v>235</v>
      </c>
      <c r="E227" s="72" t="s">
        <v>236</v>
      </c>
      <c r="F227" s="73">
        <v>46419</v>
      </c>
      <c r="G227" s="73">
        <v>46419</v>
      </c>
      <c r="H227" s="81"/>
      <c r="I227" s="81"/>
      <c r="J227" s="79"/>
      <c r="K227" s="72"/>
    </row>
    <row r="228" spans="1:11" ht="19.5" customHeight="1">
      <c r="A228" s="79" t="s">
        <v>848</v>
      </c>
      <c r="B228" s="80">
        <v>11</v>
      </c>
      <c r="C228" s="79" t="s">
        <v>849</v>
      </c>
      <c r="D228" s="80" t="s">
        <v>359</v>
      </c>
      <c r="E228" s="72" t="s">
        <v>850</v>
      </c>
      <c r="F228" s="73">
        <f>[1]CONFIGURACIÓN!$B$4+184</f>
        <v>46358</v>
      </c>
      <c r="G228" s="73">
        <f>[1]CONFIGURACIÓN!$B$4+193</f>
        <v>46367</v>
      </c>
      <c r="H228" s="81" t="s">
        <v>361</v>
      </c>
      <c r="I228" s="81" t="s">
        <v>851</v>
      </c>
      <c r="J228" s="79"/>
      <c r="K228" s="72"/>
    </row>
    <row r="229" spans="1:11" ht="19.5" customHeight="1">
      <c r="A229" s="82" t="s">
        <v>852</v>
      </c>
      <c r="B229" s="83">
        <v>11</v>
      </c>
      <c r="C229" s="82" t="s">
        <v>853</v>
      </c>
      <c r="D229" s="83" t="s">
        <v>255</v>
      </c>
      <c r="E229" s="72" t="s">
        <v>536</v>
      </c>
      <c r="F229" s="73">
        <v>46353</v>
      </c>
      <c r="G229" s="73">
        <v>46353</v>
      </c>
      <c r="H229" s="81" t="s">
        <v>223</v>
      </c>
      <c r="I229" s="81" t="s">
        <v>851</v>
      </c>
      <c r="J229" s="79"/>
      <c r="K229" s="72"/>
    </row>
    <row r="230" spans="1:11" ht="19.5" customHeight="1">
      <c r="A230" s="91" t="s">
        <v>854</v>
      </c>
      <c r="B230" s="92">
        <v>11</v>
      </c>
      <c r="C230" s="93" t="s">
        <v>855</v>
      </c>
      <c r="D230" s="92" t="s">
        <v>221</v>
      </c>
      <c r="E230" s="72" t="s">
        <v>599</v>
      </c>
      <c r="F230" s="73">
        <v>46354</v>
      </c>
      <c r="G230" s="73">
        <v>46356</v>
      </c>
      <c r="H230" s="81" t="s">
        <v>369</v>
      </c>
      <c r="I230" s="81" t="s">
        <v>856</v>
      </c>
      <c r="J230" s="79"/>
      <c r="K230" s="72"/>
    </row>
    <row r="231" spans="1:11" ht="19.5" customHeight="1">
      <c r="A231" s="91" t="s">
        <v>857</v>
      </c>
      <c r="B231" s="92">
        <v>11</v>
      </c>
      <c r="C231" s="93" t="s">
        <v>858</v>
      </c>
      <c r="D231" s="92" t="s">
        <v>226</v>
      </c>
      <c r="E231" s="72" t="s">
        <v>801</v>
      </c>
      <c r="F231" s="73">
        <v>46357</v>
      </c>
      <c r="G231" s="73">
        <v>46358</v>
      </c>
      <c r="H231" s="81" t="s">
        <v>373</v>
      </c>
      <c r="I231" s="81" t="s">
        <v>859</v>
      </c>
      <c r="J231" s="79"/>
      <c r="K231" s="72"/>
    </row>
    <row r="232" spans="1:11" ht="19.5" customHeight="1">
      <c r="A232" s="91" t="s">
        <v>860</v>
      </c>
      <c r="B232" s="92">
        <v>11</v>
      </c>
      <c r="C232" s="93" t="s">
        <v>861</v>
      </c>
      <c r="D232" s="92" t="s">
        <v>255</v>
      </c>
      <c r="E232" s="72" t="s">
        <v>605</v>
      </c>
      <c r="F232" s="73">
        <v>46359</v>
      </c>
      <c r="G232" s="73">
        <v>46359</v>
      </c>
      <c r="H232" s="81" t="s">
        <v>261</v>
      </c>
      <c r="I232" s="81" t="s">
        <v>862</v>
      </c>
      <c r="J232" s="79"/>
      <c r="K232" s="72"/>
    </row>
    <row r="233" spans="1:11" ht="19.5" customHeight="1">
      <c r="A233" s="91" t="s">
        <v>863</v>
      </c>
      <c r="B233" s="92">
        <v>11</v>
      </c>
      <c r="C233" s="93" t="s">
        <v>864</v>
      </c>
      <c r="D233" s="92" t="s">
        <v>221</v>
      </c>
      <c r="E233" s="72" t="s">
        <v>660</v>
      </c>
      <c r="F233" s="73">
        <v>46360</v>
      </c>
      <c r="G233" s="73">
        <v>46362</v>
      </c>
      <c r="H233" s="81" t="s">
        <v>380</v>
      </c>
      <c r="I233" s="81" t="s">
        <v>865</v>
      </c>
      <c r="J233" s="79"/>
      <c r="K233" s="72"/>
    </row>
    <row r="234" spans="1:11" ht="19.5" customHeight="1">
      <c r="A234" s="91" t="s">
        <v>866</v>
      </c>
      <c r="B234" s="92">
        <v>11</v>
      </c>
      <c r="C234" s="93" t="s">
        <v>867</v>
      </c>
      <c r="D234" s="92" t="s">
        <v>226</v>
      </c>
      <c r="E234" s="72" t="s">
        <v>663</v>
      </c>
      <c r="F234" s="73">
        <v>46363</v>
      </c>
      <c r="G234" s="73">
        <v>46364</v>
      </c>
      <c r="H234" s="81" t="s">
        <v>551</v>
      </c>
      <c r="I234" s="81" t="s">
        <v>868</v>
      </c>
      <c r="J234" s="79"/>
      <c r="K234" s="72"/>
    </row>
    <row r="235" spans="1:11" ht="19.5" customHeight="1">
      <c r="A235" s="91" t="s">
        <v>869</v>
      </c>
      <c r="B235" s="92">
        <v>11</v>
      </c>
      <c r="C235" s="93" t="s">
        <v>870</v>
      </c>
      <c r="D235" s="92" t="s">
        <v>255</v>
      </c>
      <c r="E235" s="72" t="s">
        <v>613</v>
      </c>
      <c r="F235" s="73">
        <v>46365</v>
      </c>
      <c r="G235" s="73">
        <v>46365</v>
      </c>
      <c r="H235" s="81" t="s">
        <v>261</v>
      </c>
      <c r="I235" s="81" t="s">
        <v>871</v>
      </c>
      <c r="J235" s="79"/>
      <c r="K235" s="72"/>
    </row>
    <row r="236" spans="1:11" ht="19.5" customHeight="1">
      <c r="A236" s="91" t="s">
        <v>872</v>
      </c>
      <c r="B236" s="92">
        <v>11</v>
      </c>
      <c r="C236" s="93" t="s">
        <v>873</v>
      </c>
      <c r="D236" s="92" t="s">
        <v>255</v>
      </c>
      <c r="E236" s="72" t="s">
        <v>668</v>
      </c>
      <c r="F236" s="73">
        <v>46365</v>
      </c>
      <c r="G236" s="73">
        <v>46365</v>
      </c>
      <c r="H236" s="81" t="s">
        <v>558</v>
      </c>
      <c r="I236" s="81" t="s">
        <v>874</v>
      </c>
      <c r="J236" s="79"/>
      <c r="K236" s="72"/>
    </row>
    <row r="237" spans="1:11" ht="19.5" customHeight="1">
      <c r="A237" s="91" t="s">
        <v>875</v>
      </c>
      <c r="B237" s="92">
        <v>11</v>
      </c>
      <c r="C237" s="93" t="s">
        <v>876</v>
      </c>
      <c r="D237" s="92" t="s">
        <v>671</v>
      </c>
      <c r="E237" s="72" t="s">
        <v>759</v>
      </c>
      <c r="F237" s="73">
        <v>46366</v>
      </c>
      <c r="G237" s="73">
        <v>46370</v>
      </c>
      <c r="H237" s="81" t="s">
        <v>352</v>
      </c>
      <c r="I237" s="81" t="s">
        <v>877</v>
      </c>
      <c r="J237" s="79"/>
      <c r="K237" s="72"/>
    </row>
    <row r="238" spans="1:11" ht="19.5" customHeight="1">
      <c r="A238" s="91" t="s">
        <v>878</v>
      </c>
      <c r="B238" s="92">
        <v>11</v>
      </c>
      <c r="C238" s="93" t="s">
        <v>879</v>
      </c>
      <c r="D238" s="92" t="s">
        <v>226</v>
      </c>
      <c r="E238" s="72" t="s">
        <v>880</v>
      </c>
      <c r="F238" s="73">
        <v>46368</v>
      </c>
      <c r="G238" s="73">
        <v>46370</v>
      </c>
      <c r="H238" s="81" t="s">
        <v>218</v>
      </c>
      <c r="I238" s="81" t="s">
        <v>881</v>
      </c>
      <c r="J238" s="79"/>
      <c r="K238" s="72"/>
    </row>
    <row r="239" spans="1:11" ht="19.5" customHeight="1">
      <c r="A239" s="79" t="s">
        <v>882</v>
      </c>
      <c r="B239" s="80">
        <v>11</v>
      </c>
      <c r="C239" s="79" t="s">
        <v>883</v>
      </c>
      <c r="D239" s="80" t="s">
        <v>235</v>
      </c>
      <c r="E239" s="72" t="s">
        <v>236</v>
      </c>
      <c r="F239" s="73">
        <v>46370</v>
      </c>
      <c r="G239" s="73">
        <v>46370</v>
      </c>
      <c r="H239" s="81" t="s">
        <v>261</v>
      </c>
      <c r="I239" s="81" t="s">
        <v>884</v>
      </c>
      <c r="J239" s="79" t="s">
        <v>238</v>
      </c>
      <c r="K239" s="72"/>
    </row>
    <row r="240" spans="1:11" ht="19.5" customHeight="1">
      <c r="A240" s="65" t="s">
        <v>885</v>
      </c>
      <c r="B240" s="66" t="s">
        <v>885</v>
      </c>
      <c r="C240" s="65" t="s">
        <v>886</v>
      </c>
      <c r="D240" s="66" t="s">
        <v>359</v>
      </c>
      <c r="E240" s="94" t="s">
        <v>887</v>
      </c>
      <c r="F240" s="73">
        <f>[1]CONFIGURACIÓN!$B$4+184</f>
        <v>46358</v>
      </c>
      <c r="G240" s="73">
        <f>[1]CONFIGURACIÓN!$B$4+193</f>
        <v>46367</v>
      </c>
      <c r="H240" s="81"/>
      <c r="I240" s="81"/>
      <c r="J240" s="79"/>
      <c r="K240" s="72"/>
    </row>
    <row r="241" spans="1:11" ht="19.5" customHeight="1">
      <c r="A241" s="88" t="s">
        <v>888</v>
      </c>
      <c r="B241" s="89" t="s">
        <v>888</v>
      </c>
      <c r="C241" s="88" t="s">
        <v>889</v>
      </c>
      <c r="D241" s="89" t="s">
        <v>255</v>
      </c>
      <c r="E241" s="72" t="s">
        <v>629</v>
      </c>
      <c r="F241" s="73">
        <v>46420</v>
      </c>
      <c r="G241" s="73">
        <v>46420</v>
      </c>
      <c r="H241" s="81"/>
      <c r="I241" s="81"/>
      <c r="J241" s="79"/>
      <c r="K241" s="72"/>
    </row>
    <row r="242" spans="1:11" ht="19.5" customHeight="1">
      <c r="A242" s="88" t="s">
        <v>890</v>
      </c>
      <c r="B242" s="89" t="s">
        <v>890</v>
      </c>
      <c r="C242" s="88" t="s">
        <v>891</v>
      </c>
      <c r="D242" s="89" t="s">
        <v>252</v>
      </c>
      <c r="E242" s="72" t="s">
        <v>776</v>
      </c>
      <c r="F242" s="73">
        <v>46420</v>
      </c>
      <c r="G242" s="73">
        <v>46420</v>
      </c>
      <c r="H242" s="81"/>
      <c r="I242" s="81"/>
      <c r="J242" s="79"/>
      <c r="K242" s="72"/>
    </row>
    <row r="243" spans="1:11" ht="19.5" customHeight="1">
      <c r="A243" s="88" t="s">
        <v>892</v>
      </c>
      <c r="B243" s="89" t="s">
        <v>892</v>
      </c>
      <c r="C243" s="88" t="s">
        <v>893</v>
      </c>
      <c r="D243" s="89" t="s">
        <v>221</v>
      </c>
      <c r="E243" s="72" t="s">
        <v>576</v>
      </c>
      <c r="F243" s="73">
        <v>46420</v>
      </c>
      <c r="G243" s="73">
        <v>46420</v>
      </c>
      <c r="H243" s="81"/>
      <c r="I243" s="81"/>
      <c r="J243" s="79"/>
      <c r="K243" s="72"/>
    </row>
    <row r="244" spans="1:11" ht="19.5" customHeight="1">
      <c r="A244" s="88" t="s">
        <v>894</v>
      </c>
      <c r="B244" s="89" t="s">
        <v>894</v>
      </c>
      <c r="C244" s="88" t="s">
        <v>895</v>
      </c>
      <c r="D244" s="89" t="s">
        <v>226</v>
      </c>
      <c r="E244" s="72" t="s">
        <v>637</v>
      </c>
      <c r="F244" s="73">
        <v>46420</v>
      </c>
      <c r="G244" s="73">
        <v>46420</v>
      </c>
      <c r="H244" s="81"/>
      <c r="I244" s="81"/>
      <c r="J244" s="79"/>
      <c r="K244" s="72"/>
    </row>
    <row r="245" spans="1:11" ht="19.5" customHeight="1">
      <c r="A245" s="88" t="s">
        <v>896</v>
      </c>
      <c r="B245" s="89" t="s">
        <v>896</v>
      </c>
      <c r="C245" s="88" t="s">
        <v>897</v>
      </c>
      <c r="D245" s="89" t="s">
        <v>226</v>
      </c>
      <c r="E245" s="72" t="s">
        <v>582</v>
      </c>
      <c r="F245" s="73">
        <v>46420</v>
      </c>
      <c r="G245" s="73">
        <v>46420</v>
      </c>
      <c r="H245" s="81"/>
      <c r="I245" s="81"/>
      <c r="J245" s="79"/>
      <c r="K245" s="72"/>
    </row>
    <row r="246" spans="1:11" ht="19.5" customHeight="1">
      <c r="A246" s="88" t="s">
        <v>898</v>
      </c>
      <c r="B246" s="89" t="s">
        <v>898</v>
      </c>
      <c r="C246" s="88" t="s">
        <v>899</v>
      </c>
      <c r="D246" s="89" t="s">
        <v>226</v>
      </c>
      <c r="E246" s="72" t="s">
        <v>585</v>
      </c>
      <c r="F246" s="73">
        <v>46420</v>
      </c>
      <c r="G246" s="73">
        <v>46420</v>
      </c>
      <c r="H246" s="81"/>
      <c r="I246" s="81"/>
      <c r="J246" s="79"/>
      <c r="K246" s="72"/>
    </row>
    <row r="247" spans="1:11" ht="19.5" customHeight="1">
      <c r="A247" s="88" t="s">
        <v>900</v>
      </c>
      <c r="B247" s="89" t="s">
        <v>900</v>
      </c>
      <c r="C247" s="88" t="s">
        <v>901</v>
      </c>
      <c r="D247" s="89" t="s">
        <v>255</v>
      </c>
      <c r="E247" s="72" t="s">
        <v>644</v>
      </c>
      <c r="F247" s="73">
        <v>46420</v>
      </c>
      <c r="G247" s="73">
        <v>46420</v>
      </c>
      <c r="H247" s="81"/>
      <c r="I247" s="81"/>
      <c r="J247" s="79"/>
      <c r="K247" s="72"/>
    </row>
    <row r="248" spans="1:11" ht="19.5" customHeight="1">
      <c r="A248" s="79" t="s">
        <v>902</v>
      </c>
      <c r="B248" s="80" t="s">
        <v>903</v>
      </c>
      <c r="C248" s="79" t="s">
        <v>904</v>
      </c>
      <c r="D248" s="80" t="s">
        <v>235</v>
      </c>
      <c r="E248" s="72" t="s">
        <v>236</v>
      </c>
      <c r="F248" s="73">
        <v>46437</v>
      </c>
      <c r="G248" s="73">
        <v>46437</v>
      </c>
      <c r="H248" s="81"/>
      <c r="I248" s="81"/>
      <c r="J248" s="79"/>
      <c r="K248" s="72"/>
    </row>
    <row r="249" spans="1:11" ht="19.5" customHeight="1">
      <c r="A249" s="82" t="s">
        <v>905</v>
      </c>
      <c r="B249" s="83">
        <v>11</v>
      </c>
      <c r="C249" s="82" t="s">
        <v>906</v>
      </c>
      <c r="D249" s="83" t="s">
        <v>359</v>
      </c>
      <c r="E249" s="72" t="s">
        <v>907</v>
      </c>
      <c r="F249" s="73">
        <f>[1]CONFIGURACIÓN!$B$4+184</f>
        <v>46358</v>
      </c>
      <c r="G249" s="73">
        <f>[1]CONFIGURACIÓN!$B$4+193</f>
        <v>46367</v>
      </c>
      <c r="H249" s="81" t="s">
        <v>361</v>
      </c>
      <c r="I249" s="81" t="s">
        <v>908</v>
      </c>
      <c r="J249" s="79"/>
      <c r="K249" s="72"/>
    </row>
    <row r="250" spans="1:11" ht="19.5" customHeight="1">
      <c r="A250" s="91" t="s">
        <v>909</v>
      </c>
      <c r="B250" s="92">
        <v>11</v>
      </c>
      <c r="C250" s="93" t="s">
        <v>910</v>
      </c>
      <c r="D250" s="92" t="s">
        <v>255</v>
      </c>
      <c r="E250" s="72" t="s">
        <v>536</v>
      </c>
      <c r="F250" s="73">
        <v>46371</v>
      </c>
      <c r="G250" s="73">
        <v>46371</v>
      </c>
      <c r="H250" s="81" t="s">
        <v>223</v>
      </c>
      <c r="I250" s="81" t="s">
        <v>908</v>
      </c>
      <c r="J250" s="79"/>
      <c r="K250" s="72"/>
    </row>
    <row r="251" spans="1:11" ht="19.5" customHeight="1">
      <c r="A251" s="91" t="s">
        <v>911</v>
      </c>
      <c r="B251" s="92">
        <v>11</v>
      </c>
      <c r="C251" s="93" t="s">
        <v>912</v>
      </c>
      <c r="D251" s="92" t="s">
        <v>221</v>
      </c>
      <c r="E251" s="72" t="s">
        <v>599</v>
      </c>
      <c r="F251" s="73">
        <v>46372</v>
      </c>
      <c r="G251" s="73">
        <v>46374</v>
      </c>
      <c r="H251" s="81" t="s">
        <v>369</v>
      </c>
      <c r="I251" s="81" t="s">
        <v>913</v>
      </c>
      <c r="J251" s="79"/>
      <c r="K251" s="72"/>
    </row>
    <row r="252" spans="1:11" ht="19.5" customHeight="1">
      <c r="A252" s="91" t="s">
        <v>914</v>
      </c>
      <c r="B252" s="92">
        <v>11</v>
      </c>
      <c r="C252" s="93" t="s">
        <v>915</v>
      </c>
      <c r="D252" s="92" t="s">
        <v>226</v>
      </c>
      <c r="E252" s="72" t="s">
        <v>801</v>
      </c>
      <c r="F252" s="73">
        <v>46375</v>
      </c>
      <c r="G252" s="73">
        <v>46376</v>
      </c>
      <c r="H252" s="81" t="s">
        <v>373</v>
      </c>
      <c r="I252" s="81" t="s">
        <v>916</v>
      </c>
      <c r="J252" s="79"/>
      <c r="K252" s="72"/>
    </row>
    <row r="253" spans="1:11" ht="19.5" customHeight="1">
      <c r="A253" s="91" t="s">
        <v>917</v>
      </c>
      <c r="B253" s="92">
        <v>11</v>
      </c>
      <c r="C253" s="93" t="s">
        <v>918</v>
      </c>
      <c r="D253" s="92" t="s">
        <v>255</v>
      </c>
      <c r="E253" s="72" t="s">
        <v>605</v>
      </c>
      <c r="F253" s="73">
        <v>46377</v>
      </c>
      <c r="G253" s="73">
        <v>46377</v>
      </c>
      <c r="H253" s="81" t="s">
        <v>261</v>
      </c>
      <c r="I253" s="81" t="s">
        <v>919</v>
      </c>
      <c r="J253" s="79"/>
      <c r="K253" s="72"/>
    </row>
    <row r="254" spans="1:11" ht="25.5" customHeight="1">
      <c r="A254" s="91" t="s">
        <v>920</v>
      </c>
      <c r="B254" s="92">
        <v>11</v>
      </c>
      <c r="C254" s="93" t="s">
        <v>921</v>
      </c>
      <c r="D254" s="92" t="s">
        <v>221</v>
      </c>
      <c r="E254" s="72" t="s">
        <v>660</v>
      </c>
      <c r="F254" s="73">
        <v>46378</v>
      </c>
      <c r="G254" s="73">
        <v>46380</v>
      </c>
      <c r="H254" s="81" t="s">
        <v>380</v>
      </c>
      <c r="I254" s="81" t="s">
        <v>922</v>
      </c>
      <c r="J254" s="79"/>
      <c r="K254" s="72"/>
    </row>
    <row r="255" spans="1:11" ht="19.5" customHeight="1">
      <c r="A255" s="91" t="s">
        <v>923</v>
      </c>
      <c r="B255" s="92">
        <v>11</v>
      </c>
      <c r="C255" s="93" t="s">
        <v>924</v>
      </c>
      <c r="D255" s="92" t="s">
        <v>226</v>
      </c>
      <c r="E255" s="72" t="s">
        <v>663</v>
      </c>
      <c r="F255" s="73">
        <v>46381</v>
      </c>
      <c r="G255" s="73">
        <v>46382</v>
      </c>
      <c r="H255" s="81" t="s">
        <v>551</v>
      </c>
      <c r="I255" s="81" t="s">
        <v>925</v>
      </c>
      <c r="J255" s="79"/>
      <c r="K255" s="72"/>
    </row>
    <row r="256" spans="1:11" ht="19.5" customHeight="1">
      <c r="A256" s="91" t="s">
        <v>926</v>
      </c>
      <c r="B256" s="92">
        <v>11</v>
      </c>
      <c r="C256" s="93" t="s">
        <v>927</v>
      </c>
      <c r="D256" s="92" t="s">
        <v>255</v>
      </c>
      <c r="E256" s="72" t="s">
        <v>613</v>
      </c>
      <c r="F256" s="73">
        <v>46383</v>
      </c>
      <c r="G256" s="73">
        <v>46383</v>
      </c>
      <c r="H256" s="81" t="s">
        <v>261</v>
      </c>
      <c r="I256" s="81" t="s">
        <v>928</v>
      </c>
      <c r="J256" s="79"/>
      <c r="K256" s="72"/>
    </row>
    <row r="257" spans="1:11" ht="19.5" customHeight="1">
      <c r="A257" s="91" t="s">
        <v>929</v>
      </c>
      <c r="B257" s="92">
        <v>11</v>
      </c>
      <c r="C257" s="93" t="s">
        <v>930</v>
      </c>
      <c r="D257" s="92" t="s">
        <v>255</v>
      </c>
      <c r="E257" s="72" t="s">
        <v>668</v>
      </c>
      <c r="F257" s="73">
        <v>46383</v>
      </c>
      <c r="G257" s="73">
        <v>46383</v>
      </c>
      <c r="H257" s="81" t="s">
        <v>558</v>
      </c>
      <c r="I257" s="81" t="s">
        <v>931</v>
      </c>
      <c r="J257" s="79"/>
      <c r="K257" s="72"/>
    </row>
    <row r="258" spans="1:11" ht="19.5" customHeight="1">
      <c r="A258" s="91" t="s">
        <v>932</v>
      </c>
      <c r="B258" s="92">
        <v>11</v>
      </c>
      <c r="C258" s="93" t="s">
        <v>933</v>
      </c>
      <c r="D258" s="92" t="s">
        <v>671</v>
      </c>
      <c r="E258" s="72" t="s">
        <v>759</v>
      </c>
      <c r="F258" s="73">
        <v>46384</v>
      </c>
      <c r="G258" s="73">
        <v>46388</v>
      </c>
      <c r="H258" s="81" t="s">
        <v>352</v>
      </c>
      <c r="I258" s="81" t="s">
        <v>934</v>
      </c>
      <c r="J258" s="79"/>
      <c r="K258" s="72"/>
    </row>
    <row r="259" spans="1:11" ht="19.5" customHeight="1">
      <c r="A259" s="91" t="s">
        <v>935</v>
      </c>
      <c r="B259" s="92">
        <v>11</v>
      </c>
      <c r="C259" s="93" t="s">
        <v>936</v>
      </c>
      <c r="D259" s="92" t="s">
        <v>226</v>
      </c>
      <c r="E259" s="72" t="s">
        <v>937</v>
      </c>
      <c r="F259" s="73">
        <v>46386</v>
      </c>
      <c r="G259" s="73">
        <v>46388</v>
      </c>
      <c r="H259" s="81" t="s">
        <v>218</v>
      </c>
      <c r="I259" s="81" t="s">
        <v>938</v>
      </c>
      <c r="J259" s="79"/>
      <c r="K259" s="72"/>
    </row>
    <row r="260" spans="1:11" ht="19.5" customHeight="1">
      <c r="A260" s="79" t="s">
        <v>939</v>
      </c>
      <c r="B260" s="80">
        <v>11</v>
      </c>
      <c r="C260" s="79" t="s">
        <v>940</v>
      </c>
      <c r="D260" s="80" t="s">
        <v>235</v>
      </c>
      <c r="E260" s="72" t="s">
        <v>236</v>
      </c>
      <c r="F260" s="73">
        <v>46388</v>
      </c>
      <c r="G260" s="73">
        <v>46388</v>
      </c>
      <c r="H260" s="81" t="s">
        <v>261</v>
      </c>
      <c r="I260" s="81" t="s">
        <v>941</v>
      </c>
      <c r="J260" s="79" t="s">
        <v>238</v>
      </c>
      <c r="K260" s="72"/>
    </row>
    <row r="261" spans="1:11" ht="19.5" customHeight="1">
      <c r="A261" s="65" t="s">
        <v>942</v>
      </c>
      <c r="B261" s="66" t="s">
        <v>942</v>
      </c>
      <c r="C261" s="65" t="s">
        <v>943</v>
      </c>
      <c r="D261" s="66" t="s">
        <v>359</v>
      </c>
      <c r="E261" s="94" t="s">
        <v>944</v>
      </c>
      <c r="F261" s="73">
        <f>[1]CONFIGURACIÓN!$B$4+184</f>
        <v>46358</v>
      </c>
      <c r="G261" s="73">
        <f>[1]CONFIGURACIÓN!$B$4+193</f>
        <v>46367</v>
      </c>
      <c r="H261" s="81"/>
      <c r="I261" s="81"/>
      <c r="J261" s="79"/>
      <c r="K261" s="72"/>
    </row>
    <row r="262" spans="1:11" ht="19.5" customHeight="1">
      <c r="A262" s="88" t="s">
        <v>945</v>
      </c>
      <c r="B262" s="89" t="s">
        <v>945</v>
      </c>
      <c r="C262" s="88" t="s">
        <v>946</v>
      </c>
      <c r="D262" s="89" t="s">
        <v>255</v>
      </c>
      <c r="E262" s="72" t="s">
        <v>629</v>
      </c>
      <c r="F262" s="73">
        <v>46438</v>
      </c>
      <c r="G262" s="73">
        <v>46438</v>
      </c>
      <c r="H262" s="81"/>
      <c r="I262" s="81"/>
      <c r="J262" s="79"/>
      <c r="K262" s="72"/>
    </row>
    <row r="263" spans="1:11" ht="19.5" customHeight="1">
      <c r="A263" s="88" t="s">
        <v>947</v>
      </c>
      <c r="B263" s="89" t="s">
        <v>947</v>
      </c>
      <c r="C263" s="88" t="s">
        <v>948</v>
      </c>
      <c r="D263" s="89" t="s">
        <v>252</v>
      </c>
      <c r="E263" s="72" t="s">
        <v>776</v>
      </c>
      <c r="F263" s="73">
        <v>46438</v>
      </c>
      <c r="G263" s="73">
        <v>46438</v>
      </c>
      <c r="H263" s="81"/>
      <c r="I263" s="81"/>
      <c r="J263" s="79"/>
      <c r="K263" s="72"/>
    </row>
    <row r="264" spans="1:11" ht="19.5" customHeight="1">
      <c r="A264" s="88" t="s">
        <v>949</v>
      </c>
      <c r="B264" s="89" t="s">
        <v>949</v>
      </c>
      <c r="C264" s="88" t="s">
        <v>950</v>
      </c>
      <c r="D264" s="89" t="s">
        <v>221</v>
      </c>
      <c r="E264" s="72" t="s">
        <v>576</v>
      </c>
      <c r="F264" s="73">
        <v>46438</v>
      </c>
      <c r="G264" s="73">
        <v>46438</v>
      </c>
      <c r="H264" s="81"/>
      <c r="I264" s="81"/>
      <c r="J264" s="79"/>
      <c r="K264" s="72"/>
    </row>
    <row r="265" spans="1:11" ht="19.5" customHeight="1">
      <c r="A265" s="88" t="s">
        <v>951</v>
      </c>
      <c r="B265" s="89" t="s">
        <v>951</v>
      </c>
      <c r="C265" s="88" t="s">
        <v>952</v>
      </c>
      <c r="D265" s="89" t="s">
        <v>226</v>
      </c>
      <c r="E265" s="72" t="s">
        <v>637</v>
      </c>
      <c r="F265" s="73">
        <v>46438</v>
      </c>
      <c r="G265" s="73">
        <v>46438</v>
      </c>
      <c r="H265" s="81"/>
      <c r="I265" s="81"/>
      <c r="J265" s="79"/>
      <c r="K265" s="72"/>
    </row>
    <row r="266" spans="1:11" ht="19.5" customHeight="1">
      <c r="A266" s="88" t="s">
        <v>953</v>
      </c>
      <c r="B266" s="89" t="s">
        <v>953</v>
      </c>
      <c r="C266" s="88" t="s">
        <v>954</v>
      </c>
      <c r="D266" s="89" t="s">
        <v>226</v>
      </c>
      <c r="E266" s="72" t="s">
        <v>582</v>
      </c>
      <c r="F266" s="73">
        <v>46438</v>
      </c>
      <c r="G266" s="73">
        <v>46438</v>
      </c>
      <c r="H266" s="81"/>
      <c r="I266" s="81"/>
      <c r="J266" s="79"/>
      <c r="K266" s="72"/>
    </row>
    <row r="267" spans="1:11" ht="19.5" customHeight="1">
      <c r="A267" s="88" t="s">
        <v>955</v>
      </c>
      <c r="B267" s="89" t="s">
        <v>955</v>
      </c>
      <c r="C267" s="88" t="s">
        <v>956</v>
      </c>
      <c r="D267" s="89" t="s">
        <v>226</v>
      </c>
      <c r="E267" s="72" t="s">
        <v>585</v>
      </c>
      <c r="F267" s="73">
        <v>46438</v>
      </c>
      <c r="G267" s="73">
        <v>46438</v>
      </c>
      <c r="H267" s="81"/>
      <c r="I267" s="81"/>
      <c r="J267" s="79"/>
      <c r="K267" s="72"/>
    </row>
    <row r="268" spans="1:11" ht="19.5" customHeight="1">
      <c r="A268" s="88" t="s">
        <v>957</v>
      </c>
      <c r="B268" s="89" t="s">
        <v>957</v>
      </c>
      <c r="C268" s="88" t="s">
        <v>958</v>
      </c>
      <c r="D268" s="89" t="s">
        <v>255</v>
      </c>
      <c r="E268" s="72" t="s">
        <v>644</v>
      </c>
      <c r="F268" s="73">
        <v>46438</v>
      </c>
      <c r="G268" s="73">
        <v>46438</v>
      </c>
      <c r="H268" s="81"/>
      <c r="I268" s="81"/>
      <c r="J268" s="79"/>
      <c r="K268" s="72"/>
    </row>
    <row r="269" spans="1:11" ht="19.5" customHeight="1">
      <c r="A269" s="79" t="s">
        <v>959</v>
      </c>
      <c r="B269" s="80" t="s">
        <v>960</v>
      </c>
      <c r="C269" s="79" t="s">
        <v>961</v>
      </c>
      <c r="D269" s="80" t="s">
        <v>235</v>
      </c>
      <c r="E269" s="72" t="s">
        <v>236</v>
      </c>
      <c r="F269" s="73">
        <v>46455</v>
      </c>
      <c r="G269" s="73">
        <v>46455</v>
      </c>
      <c r="H269" s="81"/>
      <c r="I269" s="81"/>
      <c r="J269" s="79"/>
      <c r="K269" s="72"/>
    </row>
    <row r="270" spans="1:11" ht="19.5" customHeight="1">
      <c r="A270" s="82" t="s">
        <v>962</v>
      </c>
      <c r="B270" s="83">
        <v>11</v>
      </c>
      <c r="C270" s="82" t="s">
        <v>963</v>
      </c>
      <c r="D270" s="83" t="s">
        <v>359</v>
      </c>
      <c r="E270" s="72" t="s">
        <v>964</v>
      </c>
      <c r="F270" s="73">
        <f>[1]CONFIGURACIÓN!$B$4+184</f>
        <v>46358</v>
      </c>
      <c r="G270" s="73">
        <f>[1]CONFIGURACIÓN!$B$4+193</f>
        <v>46367</v>
      </c>
      <c r="H270" s="81" t="s">
        <v>361</v>
      </c>
      <c r="I270" s="81" t="s">
        <v>965</v>
      </c>
      <c r="J270" s="79"/>
      <c r="K270" s="72"/>
    </row>
    <row r="271" spans="1:11" ht="19.5" customHeight="1">
      <c r="A271" s="91" t="s">
        <v>966</v>
      </c>
      <c r="B271" s="92">
        <v>11</v>
      </c>
      <c r="C271" s="93" t="s">
        <v>967</v>
      </c>
      <c r="D271" s="92" t="s">
        <v>255</v>
      </c>
      <c r="E271" s="72" t="s">
        <v>536</v>
      </c>
      <c r="F271" s="73">
        <v>46389</v>
      </c>
      <c r="G271" s="73">
        <v>46389</v>
      </c>
      <c r="H271" s="81" t="s">
        <v>223</v>
      </c>
      <c r="I271" s="81" t="s">
        <v>965</v>
      </c>
      <c r="J271" s="79"/>
      <c r="K271" s="72"/>
    </row>
    <row r="272" spans="1:11" ht="19.5" customHeight="1">
      <c r="A272" s="91" t="s">
        <v>968</v>
      </c>
      <c r="B272" s="92">
        <v>11</v>
      </c>
      <c r="C272" s="93" t="s">
        <v>969</v>
      </c>
      <c r="D272" s="92" t="s">
        <v>221</v>
      </c>
      <c r="E272" s="72" t="s">
        <v>599</v>
      </c>
      <c r="F272" s="73">
        <v>46390</v>
      </c>
      <c r="G272" s="73">
        <v>46392</v>
      </c>
      <c r="H272" s="81" t="s">
        <v>369</v>
      </c>
      <c r="I272" s="81" t="s">
        <v>970</v>
      </c>
      <c r="J272" s="79"/>
      <c r="K272" s="72"/>
    </row>
    <row r="273" spans="1:11" ht="19.5" customHeight="1">
      <c r="A273" s="91" t="s">
        <v>971</v>
      </c>
      <c r="B273" s="92">
        <v>11</v>
      </c>
      <c r="C273" s="93" t="s">
        <v>972</v>
      </c>
      <c r="D273" s="92" t="s">
        <v>226</v>
      </c>
      <c r="E273" s="72" t="s">
        <v>801</v>
      </c>
      <c r="F273" s="73">
        <v>46393</v>
      </c>
      <c r="G273" s="73">
        <v>46394</v>
      </c>
      <c r="H273" s="81" t="s">
        <v>373</v>
      </c>
      <c r="I273" s="81" t="s">
        <v>973</v>
      </c>
      <c r="J273" s="79"/>
      <c r="K273" s="72"/>
    </row>
    <row r="274" spans="1:11" ht="19.5" customHeight="1">
      <c r="A274" s="91" t="s">
        <v>974</v>
      </c>
      <c r="B274" s="92">
        <v>11</v>
      </c>
      <c r="C274" s="93" t="s">
        <v>975</v>
      </c>
      <c r="D274" s="92" t="s">
        <v>255</v>
      </c>
      <c r="E274" s="72" t="s">
        <v>605</v>
      </c>
      <c r="F274" s="73">
        <v>46395</v>
      </c>
      <c r="G274" s="73">
        <v>46395</v>
      </c>
      <c r="H274" s="81" t="s">
        <v>261</v>
      </c>
      <c r="I274" s="81" t="s">
        <v>976</v>
      </c>
      <c r="J274" s="79"/>
      <c r="K274" s="72"/>
    </row>
    <row r="275" spans="1:11" ht="19.5" customHeight="1">
      <c r="A275" s="91" t="s">
        <v>977</v>
      </c>
      <c r="B275" s="92">
        <v>11</v>
      </c>
      <c r="C275" s="93" t="s">
        <v>978</v>
      </c>
      <c r="D275" s="92" t="s">
        <v>221</v>
      </c>
      <c r="E275" s="72" t="s">
        <v>660</v>
      </c>
      <c r="F275" s="73">
        <v>46396</v>
      </c>
      <c r="G275" s="73">
        <v>46398</v>
      </c>
      <c r="H275" s="81" t="s">
        <v>380</v>
      </c>
      <c r="I275" s="81" t="s">
        <v>979</v>
      </c>
      <c r="J275" s="79"/>
      <c r="K275" s="72"/>
    </row>
    <row r="276" spans="1:11" ht="19.5" customHeight="1">
      <c r="A276" s="91" t="s">
        <v>980</v>
      </c>
      <c r="B276" s="92">
        <v>11</v>
      </c>
      <c r="C276" s="93" t="s">
        <v>981</v>
      </c>
      <c r="D276" s="92" t="s">
        <v>226</v>
      </c>
      <c r="E276" s="72" t="s">
        <v>663</v>
      </c>
      <c r="F276" s="73">
        <v>46399</v>
      </c>
      <c r="G276" s="73">
        <v>46400</v>
      </c>
      <c r="H276" s="81" t="s">
        <v>551</v>
      </c>
      <c r="I276" s="81" t="s">
        <v>982</v>
      </c>
      <c r="J276" s="79"/>
      <c r="K276" s="72"/>
    </row>
    <row r="277" spans="1:11" ht="19.5" customHeight="1">
      <c r="A277" s="91" t="s">
        <v>983</v>
      </c>
      <c r="B277" s="92">
        <v>11</v>
      </c>
      <c r="C277" s="93" t="s">
        <v>984</v>
      </c>
      <c r="D277" s="92" t="s">
        <v>255</v>
      </c>
      <c r="E277" s="72" t="s">
        <v>613</v>
      </c>
      <c r="F277" s="73">
        <v>46401</v>
      </c>
      <c r="G277" s="73">
        <v>46401</v>
      </c>
      <c r="H277" s="81" t="s">
        <v>261</v>
      </c>
      <c r="I277" s="81" t="s">
        <v>985</v>
      </c>
      <c r="J277" s="79"/>
      <c r="K277" s="72"/>
    </row>
    <row r="278" spans="1:11" ht="19.5" customHeight="1">
      <c r="A278" s="91" t="s">
        <v>986</v>
      </c>
      <c r="B278" s="92">
        <v>11</v>
      </c>
      <c r="C278" s="93" t="s">
        <v>987</v>
      </c>
      <c r="D278" s="92" t="s">
        <v>255</v>
      </c>
      <c r="E278" s="72" t="s">
        <v>668</v>
      </c>
      <c r="F278" s="73">
        <v>46401</v>
      </c>
      <c r="G278" s="73">
        <v>46401</v>
      </c>
      <c r="H278" s="81" t="s">
        <v>558</v>
      </c>
      <c r="I278" s="81" t="s">
        <v>988</v>
      </c>
      <c r="J278" s="79"/>
      <c r="K278" s="72"/>
    </row>
    <row r="279" spans="1:11" ht="19.5" customHeight="1">
      <c r="A279" s="91" t="s">
        <v>989</v>
      </c>
      <c r="B279" s="92">
        <v>11</v>
      </c>
      <c r="C279" s="93" t="s">
        <v>990</v>
      </c>
      <c r="D279" s="92" t="s">
        <v>671</v>
      </c>
      <c r="E279" s="72" t="s">
        <v>759</v>
      </c>
      <c r="F279" s="73">
        <v>46402</v>
      </c>
      <c r="G279" s="73">
        <v>46406</v>
      </c>
      <c r="H279" s="81" t="s">
        <v>352</v>
      </c>
      <c r="I279" s="81" t="s">
        <v>991</v>
      </c>
      <c r="J279" s="79"/>
      <c r="K279" s="72"/>
    </row>
    <row r="280" spans="1:11" ht="19.5" customHeight="1">
      <c r="A280" s="91" t="s">
        <v>992</v>
      </c>
      <c r="B280" s="92">
        <v>11</v>
      </c>
      <c r="C280" s="93" t="s">
        <v>993</v>
      </c>
      <c r="D280" s="92" t="s">
        <v>226</v>
      </c>
      <c r="E280" s="72" t="s">
        <v>994</v>
      </c>
      <c r="F280" s="73">
        <v>46404</v>
      </c>
      <c r="G280" s="73">
        <v>46406</v>
      </c>
      <c r="H280" s="81" t="s">
        <v>218</v>
      </c>
      <c r="I280" s="81" t="s">
        <v>995</v>
      </c>
      <c r="J280" s="79"/>
      <c r="K280" s="72"/>
    </row>
    <row r="281" spans="1:11" ht="19.5" customHeight="1">
      <c r="A281" s="91" t="s">
        <v>996</v>
      </c>
      <c r="B281" s="92">
        <v>11</v>
      </c>
      <c r="C281" s="93" t="s">
        <v>997</v>
      </c>
      <c r="D281" s="92" t="s">
        <v>235</v>
      </c>
      <c r="E281" s="72" t="s">
        <v>236</v>
      </c>
      <c r="F281" s="73">
        <v>46406</v>
      </c>
      <c r="G281" s="73">
        <v>46406</v>
      </c>
      <c r="H281" s="81" t="s">
        <v>261</v>
      </c>
      <c r="I281" s="81" t="s">
        <v>998</v>
      </c>
      <c r="J281" s="79" t="s">
        <v>238</v>
      </c>
      <c r="K281" s="72"/>
    </row>
    <row r="282" spans="1:11" ht="19.5" customHeight="1">
      <c r="A282" s="65" t="s">
        <v>999</v>
      </c>
      <c r="B282" s="66" t="s">
        <v>999</v>
      </c>
      <c r="C282" s="65" t="s">
        <v>1000</v>
      </c>
      <c r="D282" s="66" t="s">
        <v>359</v>
      </c>
      <c r="E282" s="94" t="s">
        <v>1001</v>
      </c>
      <c r="F282" s="73">
        <f>[1]CONFIGURACIÓN!$B$4+184</f>
        <v>46358</v>
      </c>
      <c r="G282" s="73">
        <f>[1]CONFIGURACIÓN!$B$4+193</f>
        <v>46367</v>
      </c>
      <c r="H282" s="81"/>
      <c r="I282" s="81"/>
      <c r="J282" s="79"/>
      <c r="K282" s="72"/>
    </row>
    <row r="283" spans="1:11" ht="19.5" customHeight="1">
      <c r="A283" s="88" t="s">
        <v>1002</v>
      </c>
      <c r="B283" s="89" t="s">
        <v>1002</v>
      </c>
      <c r="C283" s="88" t="s">
        <v>1003</v>
      </c>
      <c r="D283" s="89" t="s">
        <v>255</v>
      </c>
      <c r="E283" s="72" t="s">
        <v>629</v>
      </c>
      <c r="F283" s="73">
        <v>46456</v>
      </c>
      <c r="G283" s="73">
        <v>46456</v>
      </c>
      <c r="H283" s="81"/>
      <c r="I283" s="81"/>
      <c r="J283" s="79"/>
      <c r="K283" s="72"/>
    </row>
    <row r="284" spans="1:11" ht="19.5" customHeight="1">
      <c r="A284" s="88" t="s">
        <v>1004</v>
      </c>
      <c r="B284" s="89" t="s">
        <v>1004</v>
      </c>
      <c r="C284" s="88" t="s">
        <v>1005</v>
      </c>
      <c r="D284" s="89" t="s">
        <v>252</v>
      </c>
      <c r="E284" s="72" t="s">
        <v>776</v>
      </c>
      <c r="F284" s="73">
        <v>46456</v>
      </c>
      <c r="G284" s="73">
        <v>46456</v>
      </c>
      <c r="H284" s="81"/>
      <c r="I284" s="81"/>
      <c r="J284" s="79"/>
      <c r="K284" s="72"/>
    </row>
    <row r="285" spans="1:11" ht="19.5" customHeight="1">
      <c r="A285" s="88" t="s">
        <v>1006</v>
      </c>
      <c r="B285" s="89" t="s">
        <v>1006</v>
      </c>
      <c r="C285" s="88" t="s">
        <v>1007</v>
      </c>
      <c r="D285" s="89" t="s">
        <v>221</v>
      </c>
      <c r="E285" s="72" t="s">
        <v>576</v>
      </c>
      <c r="F285" s="73">
        <v>46456</v>
      </c>
      <c r="G285" s="73">
        <v>46456</v>
      </c>
      <c r="H285" s="81"/>
      <c r="I285" s="81"/>
      <c r="J285" s="79"/>
      <c r="K285" s="72"/>
    </row>
    <row r="286" spans="1:11" ht="19.5" customHeight="1">
      <c r="A286" s="88" t="s">
        <v>1008</v>
      </c>
      <c r="B286" s="89" t="s">
        <v>1008</v>
      </c>
      <c r="C286" s="88" t="s">
        <v>1009</v>
      </c>
      <c r="D286" s="89" t="s">
        <v>226</v>
      </c>
      <c r="E286" s="72" t="s">
        <v>637</v>
      </c>
      <c r="F286" s="73">
        <v>46456</v>
      </c>
      <c r="G286" s="73">
        <v>46456</v>
      </c>
      <c r="H286" s="81"/>
      <c r="I286" s="81"/>
      <c r="J286" s="79"/>
      <c r="K286" s="72"/>
    </row>
    <row r="287" spans="1:11" ht="19.5" customHeight="1">
      <c r="A287" s="88" t="s">
        <v>1010</v>
      </c>
      <c r="B287" s="89" t="s">
        <v>1010</v>
      </c>
      <c r="C287" s="88" t="s">
        <v>1011</v>
      </c>
      <c r="D287" s="89" t="s">
        <v>226</v>
      </c>
      <c r="E287" s="72" t="s">
        <v>582</v>
      </c>
      <c r="F287" s="73">
        <v>46456</v>
      </c>
      <c r="G287" s="73">
        <v>46456</v>
      </c>
      <c r="H287" s="81"/>
      <c r="I287" s="81"/>
      <c r="J287" s="79"/>
      <c r="K287" s="72"/>
    </row>
    <row r="288" spans="1:11" ht="19.5" customHeight="1">
      <c r="A288" s="88" t="s">
        <v>1012</v>
      </c>
      <c r="B288" s="89" t="s">
        <v>1012</v>
      </c>
      <c r="C288" s="88" t="s">
        <v>1013</v>
      </c>
      <c r="D288" s="89" t="s">
        <v>226</v>
      </c>
      <c r="E288" s="72" t="s">
        <v>585</v>
      </c>
      <c r="F288" s="73">
        <v>46456</v>
      </c>
      <c r="G288" s="73">
        <v>46456</v>
      </c>
      <c r="H288" s="81"/>
      <c r="I288" s="81"/>
      <c r="J288" s="79"/>
      <c r="K288" s="72"/>
    </row>
    <row r="289" spans="1:11" ht="19.5" customHeight="1">
      <c r="A289" s="88" t="s">
        <v>1014</v>
      </c>
      <c r="B289" s="89" t="s">
        <v>1014</v>
      </c>
      <c r="C289" s="88" t="s">
        <v>1015</v>
      </c>
      <c r="D289" s="89" t="s">
        <v>255</v>
      </c>
      <c r="E289" s="72" t="s">
        <v>644</v>
      </c>
      <c r="F289" s="73">
        <v>46456</v>
      </c>
      <c r="G289" s="73">
        <v>46456</v>
      </c>
      <c r="H289" s="81"/>
      <c r="I289" s="81"/>
      <c r="J289" s="79"/>
      <c r="K289" s="72"/>
    </row>
    <row r="290" spans="1:11" ht="19.5" customHeight="1">
      <c r="A290" s="79" t="s">
        <v>1016</v>
      </c>
      <c r="B290" s="80" t="s">
        <v>1017</v>
      </c>
      <c r="C290" s="79" t="s">
        <v>1018</v>
      </c>
      <c r="D290" s="80" t="s">
        <v>235</v>
      </c>
      <c r="E290" s="72" t="s">
        <v>236</v>
      </c>
      <c r="F290" s="73">
        <v>46473</v>
      </c>
      <c r="G290" s="73">
        <v>46473</v>
      </c>
      <c r="H290" s="81"/>
      <c r="I290" s="81"/>
      <c r="J290" s="79"/>
      <c r="K290" s="72"/>
    </row>
    <row r="291" spans="1:11" ht="19.5" customHeight="1">
      <c r="A291" s="79" t="s">
        <v>1019</v>
      </c>
      <c r="B291" s="80">
        <v>11</v>
      </c>
      <c r="C291" s="79" t="s">
        <v>1020</v>
      </c>
      <c r="D291" s="80" t="s">
        <v>359</v>
      </c>
      <c r="E291" s="72" t="s">
        <v>1021</v>
      </c>
      <c r="F291" s="73">
        <f>[1]CONFIGURACIÓN!$B$4+184</f>
        <v>46358</v>
      </c>
      <c r="G291" s="73">
        <f>[1]CONFIGURACIÓN!$B$4+193</f>
        <v>46367</v>
      </c>
      <c r="H291" s="81" t="s">
        <v>361</v>
      </c>
      <c r="I291" s="81" t="s">
        <v>1022</v>
      </c>
      <c r="J291" s="79"/>
      <c r="K291" s="72"/>
    </row>
    <row r="292" spans="1:11" ht="19.5" customHeight="1">
      <c r="A292" s="82" t="s">
        <v>1023</v>
      </c>
      <c r="B292" s="83">
        <v>11</v>
      </c>
      <c r="C292" s="82" t="s">
        <v>1024</v>
      </c>
      <c r="D292" s="83" t="s">
        <v>182</v>
      </c>
      <c r="E292" s="72" t="s">
        <v>1025</v>
      </c>
      <c r="F292" s="73">
        <v>46407</v>
      </c>
      <c r="G292" s="73">
        <v>46411</v>
      </c>
      <c r="H292" s="81" t="s">
        <v>655</v>
      </c>
      <c r="I292" s="81" t="s">
        <v>1022</v>
      </c>
      <c r="J292" s="79"/>
      <c r="K292" s="72"/>
    </row>
    <row r="293" spans="1:11" ht="19.5" customHeight="1">
      <c r="A293" s="91" t="s">
        <v>1026</v>
      </c>
      <c r="B293" s="92">
        <v>11</v>
      </c>
      <c r="C293" s="93" t="s">
        <v>1027</v>
      </c>
      <c r="D293" s="92" t="s">
        <v>255</v>
      </c>
      <c r="E293" s="72" t="s">
        <v>605</v>
      </c>
      <c r="F293" s="73">
        <v>46411</v>
      </c>
      <c r="G293" s="73">
        <v>46411</v>
      </c>
      <c r="H293" s="81" t="s">
        <v>261</v>
      </c>
      <c r="I293" s="81" t="s">
        <v>1028</v>
      </c>
      <c r="J293" s="79"/>
      <c r="K293" s="72"/>
    </row>
    <row r="294" spans="1:11" ht="25.5" customHeight="1">
      <c r="A294" s="91" t="s">
        <v>1029</v>
      </c>
      <c r="B294" s="92">
        <v>11</v>
      </c>
      <c r="C294" s="93" t="s">
        <v>1030</v>
      </c>
      <c r="D294" s="92" t="s">
        <v>221</v>
      </c>
      <c r="E294" s="72" t="s">
        <v>660</v>
      </c>
      <c r="F294" s="73">
        <v>46412</v>
      </c>
      <c r="G294" s="73">
        <v>46414</v>
      </c>
      <c r="H294" s="81" t="s">
        <v>380</v>
      </c>
      <c r="I294" s="81" t="s">
        <v>1031</v>
      </c>
      <c r="J294" s="79"/>
      <c r="K294" s="72"/>
    </row>
    <row r="295" spans="1:11" ht="19.5" customHeight="1">
      <c r="A295" s="91" t="s">
        <v>1032</v>
      </c>
      <c r="B295" s="92">
        <v>11</v>
      </c>
      <c r="C295" s="93" t="s">
        <v>1033</v>
      </c>
      <c r="D295" s="92" t="s">
        <v>226</v>
      </c>
      <c r="E295" s="72" t="s">
        <v>1034</v>
      </c>
      <c r="F295" s="73">
        <v>46415</v>
      </c>
      <c r="G295" s="73">
        <v>46416</v>
      </c>
      <c r="H295" s="81" t="s">
        <v>551</v>
      </c>
      <c r="I295" s="81" t="s">
        <v>1035</v>
      </c>
      <c r="J295" s="79"/>
      <c r="K295" s="72"/>
    </row>
    <row r="296" spans="1:11" ht="19.5" customHeight="1">
      <c r="A296" s="91" t="s">
        <v>1036</v>
      </c>
      <c r="B296" s="92">
        <v>11</v>
      </c>
      <c r="C296" s="93" t="s">
        <v>1037</v>
      </c>
      <c r="D296" s="92" t="s">
        <v>255</v>
      </c>
      <c r="E296" s="72" t="s">
        <v>1038</v>
      </c>
      <c r="F296" s="73">
        <v>46417</v>
      </c>
      <c r="G296" s="73">
        <v>46417</v>
      </c>
      <c r="H296" s="81" t="s">
        <v>261</v>
      </c>
      <c r="I296" s="81" t="s">
        <v>1039</v>
      </c>
      <c r="J296" s="79"/>
      <c r="K296" s="72"/>
    </row>
    <row r="297" spans="1:11" ht="19.5" customHeight="1">
      <c r="A297" s="91" t="s">
        <v>1040</v>
      </c>
      <c r="B297" s="92">
        <v>11</v>
      </c>
      <c r="C297" s="93" t="s">
        <v>1041</v>
      </c>
      <c r="D297" s="92" t="s">
        <v>255</v>
      </c>
      <c r="E297" s="72" t="s">
        <v>1042</v>
      </c>
      <c r="F297" s="73">
        <v>46417</v>
      </c>
      <c r="G297" s="73">
        <v>46417</v>
      </c>
      <c r="H297" s="81" t="s">
        <v>558</v>
      </c>
      <c r="I297" s="81" t="s">
        <v>1043</v>
      </c>
      <c r="J297" s="79"/>
      <c r="K297" s="72"/>
    </row>
    <row r="298" spans="1:11" ht="19.5" customHeight="1">
      <c r="A298" s="65" t="s">
        <v>1044</v>
      </c>
      <c r="B298" s="66">
        <v>11</v>
      </c>
      <c r="C298" s="65" t="s">
        <v>1045</v>
      </c>
      <c r="D298" s="66" t="s">
        <v>671</v>
      </c>
      <c r="E298" s="72" t="s">
        <v>759</v>
      </c>
      <c r="F298" s="73">
        <v>46418</v>
      </c>
      <c r="G298" s="73">
        <v>46424</v>
      </c>
      <c r="H298" s="65" t="s">
        <v>352</v>
      </c>
      <c r="I298" s="65" t="s">
        <v>1046</v>
      </c>
      <c r="J298" s="72"/>
      <c r="K298" s="72"/>
    </row>
    <row r="299" spans="1:11" ht="19.5" customHeight="1">
      <c r="A299" s="95" t="s">
        <v>1047</v>
      </c>
      <c r="B299" s="71">
        <v>11</v>
      </c>
      <c r="C299" s="72" t="s">
        <v>1048</v>
      </c>
      <c r="D299" s="71" t="s">
        <v>221</v>
      </c>
      <c r="E299" s="72" t="s">
        <v>1049</v>
      </c>
      <c r="F299" s="73">
        <v>46421</v>
      </c>
      <c r="G299" s="73">
        <v>46424</v>
      </c>
      <c r="H299" s="72" t="s">
        <v>218</v>
      </c>
      <c r="I299" s="72" t="s">
        <v>1050</v>
      </c>
      <c r="J299" s="72"/>
      <c r="K299" s="72"/>
    </row>
    <row r="300" spans="1:11" ht="19.5" customHeight="1">
      <c r="A300" s="95" t="s">
        <v>1051</v>
      </c>
      <c r="B300" s="71">
        <v>11</v>
      </c>
      <c r="C300" s="72" t="s">
        <v>764</v>
      </c>
      <c r="D300" s="71" t="s">
        <v>226</v>
      </c>
      <c r="E300" s="72" t="s">
        <v>1052</v>
      </c>
      <c r="F300" s="73">
        <v>46423</v>
      </c>
      <c r="G300" s="73">
        <v>46424</v>
      </c>
      <c r="H300" s="72" t="s">
        <v>765</v>
      </c>
      <c r="I300" s="72" t="s">
        <v>1053</v>
      </c>
      <c r="J300" s="72"/>
      <c r="K300" s="72"/>
    </row>
    <row r="301" spans="1:11" ht="19.5" customHeight="1">
      <c r="A301" s="79" t="s">
        <v>1054</v>
      </c>
      <c r="B301" s="80">
        <v>11</v>
      </c>
      <c r="C301" s="79" t="s">
        <v>1055</v>
      </c>
      <c r="D301" s="80" t="s">
        <v>235</v>
      </c>
      <c r="E301" s="72" t="s">
        <v>236</v>
      </c>
      <c r="F301" s="73">
        <v>46424</v>
      </c>
      <c r="G301" s="73">
        <v>46424</v>
      </c>
      <c r="H301" s="72" t="s">
        <v>765</v>
      </c>
      <c r="I301" s="72" t="s">
        <v>1056</v>
      </c>
      <c r="J301" s="72" t="s">
        <v>1057</v>
      </c>
      <c r="K301" s="72"/>
    </row>
    <row r="302" spans="1:11" ht="19.5" customHeight="1">
      <c r="A302" s="65" t="s">
        <v>1058</v>
      </c>
      <c r="B302" s="66" t="s">
        <v>1058</v>
      </c>
      <c r="C302" s="65" t="s">
        <v>1059</v>
      </c>
      <c r="D302" s="66" t="s">
        <v>359</v>
      </c>
      <c r="E302" s="94" t="s">
        <v>1060</v>
      </c>
      <c r="F302" s="73">
        <f>[1]CONFIGURACIÓN!$B$4+184</f>
        <v>46358</v>
      </c>
      <c r="G302" s="73">
        <f>[1]CONFIGURACIÓN!$B$4+193</f>
        <v>46367</v>
      </c>
      <c r="H302" s="72"/>
      <c r="I302" s="72"/>
      <c r="J302" s="72"/>
      <c r="K302" s="72"/>
    </row>
    <row r="303" spans="1:11" ht="19.5" customHeight="1">
      <c r="A303" s="88" t="s">
        <v>1061</v>
      </c>
      <c r="B303" s="89" t="s">
        <v>1061</v>
      </c>
      <c r="C303" s="88" t="s">
        <v>1062</v>
      </c>
      <c r="D303" s="89" t="s">
        <v>255</v>
      </c>
      <c r="E303" s="72" t="s">
        <v>629</v>
      </c>
      <c r="F303" s="73">
        <v>46474</v>
      </c>
      <c r="G303" s="73">
        <v>46474</v>
      </c>
      <c r="H303" s="72"/>
      <c r="I303" s="72"/>
      <c r="J303" s="72"/>
      <c r="K303" s="72"/>
    </row>
    <row r="304" spans="1:11" ht="19.5" customHeight="1">
      <c r="A304" s="88" t="s">
        <v>1063</v>
      </c>
      <c r="B304" s="89" t="s">
        <v>1063</v>
      </c>
      <c r="C304" s="88" t="s">
        <v>1064</v>
      </c>
      <c r="D304" s="89" t="s">
        <v>252</v>
      </c>
      <c r="E304" s="72" t="s">
        <v>776</v>
      </c>
      <c r="F304" s="73">
        <v>46474</v>
      </c>
      <c r="G304" s="73">
        <v>46474</v>
      </c>
      <c r="H304" s="72"/>
      <c r="I304" s="72"/>
      <c r="J304" s="72"/>
      <c r="K304" s="72"/>
    </row>
    <row r="305" spans="1:11" ht="19.5" customHeight="1">
      <c r="A305" s="88" t="s">
        <v>1065</v>
      </c>
      <c r="B305" s="89" t="s">
        <v>1065</v>
      </c>
      <c r="C305" s="88" t="s">
        <v>1066</v>
      </c>
      <c r="D305" s="89" t="s">
        <v>221</v>
      </c>
      <c r="E305" s="72" t="s">
        <v>576</v>
      </c>
      <c r="F305" s="73">
        <v>46474</v>
      </c>
      <c r="G305" s="73">
        <v>46474</v>
      </c>
      <c r="H305" s="72"/>
      <c r="I305" s="72"/>
      <c r="J305" s="72"/>
      <c r="K305" s="72"/>
    </row>
    <row r="306" spans="1:11" ht="19.5" customHeight="1">
      <c r="A306" s="88" t="s">
        <v>1067</v>
      </c>
      <c r="B306" s="89" t="s">
        <v>1067</v>
      </c>
      <c r="C306" s="88" t="s">
        <v>1068</v>
      </c>
      <c r="D306" s="89" t="s">
        <v>226</v>
      </c>
      <c r="E306" s="72" t="s">
        <v>637</v>
      </c>
      <c r="F306" s="73">
        <v>46474</v>
      </c>
      <c r="G306" s="73">
        <v>46474</v>
      </c>
      <c r="H306" s="72"/>
      <c r="I306" s="72"/>
      <c r="J306" s="72"/>
      <c r="K306" s="72"/>
    </row>
    <row r="307" spans="1:11" ht="19.5" customHeight="1">
      <c r="A307" s="88" t="s">
        <v>1069</v>
      </c>
      <c r="B307" s="89" t="s">
        <v>1069</v>
      </c>
      <c r="C307" s="88" t="s">
        <v>1070</v>
      </c>
      <c r="D307" s="89" t="s">
        <v>226</v>
      </c>
      <c r="E307" s="72" t="s">
        <v>582</v>
      </c>
      <c r="F307" s="73">
        <v>46474</v>
      </c>
      <c r="G307" s="73">
        <v>46474</v>
      </c>
      <c r="H307" s="72"/>
      <c r="I307" s="72"/>
      <c r="J307" s="72"/>
      <c r="K307" s="72"/>
    </row>
    <row r="308" spans="1:11" ht="19.5" customHeight="1">
      <c r="A308" s="88" t="s">
        <v>1071</v>
      </c>
      <c r="B308" s="89" t="s">
        <v>1071</v>
      </c>
      <c r="C308" s="88" t="s">
        <v>1072</v>
      </c>
      <c r="D308" s="89" t="s">
        <v>226</v>
      </c>
      <c r="E308" s="72" t="s">
        <v>585</v>
      </c>
      <c r="F308" s="73">
        <v>46474</v>
      </c>
      <c r="G308" s="73">
        <v>46474</v>
      </c>
      <c r="H308" s="72"/>
      <c r="I308" s="72"/>
      <c r="J308" s="72"/>
      <c r="K308" s="72"/>
    </row>
    <row r="309" spans="1:11" ht="19.5" customHeight="1">
      <c r="A309" s="88" t="s">
        <v>1073</v>
      </c>
      <c r="B309" s="89" t="s">
        <v>1073</v>
      </c>
      <c r="C309" s="88" t="s">
        <v>1074</v>
      </c>
      <c r="D309" s="89" t="s">
        <v>255</v>
      </c>
      <c r="E309" s="72" t="s">
        <v>1075</v>
      </c>
      <c r="F309" s="73">
        <v>46474</v>
      </c>
      <c r="G309" s="73">
        <v>46474</v>
      </c>
      <c r="H309" s="72"/>
      <c r="I309" s="72"/>
      <c r="J309" s="72"/>
      <c r="K309" s="72"/>
    </row>
    <row r="310" spans="1:11" ht="19.5" customHeight="1">
      <c r="A310" s="79" t="s">
        <v>1076</v>
      </c>
      <c r="B310" s="80" t="s">
        <v>1077</v>
      </c>
      <c r="C310" s="79" t="s">
        <v>1078</v>
      </c>
      <c r="D310" s="80" t="s">
        <v>235</v>
      </c>
      <c r="E310" s="72" t="s">
        <v>236</v>
      </c>
      <c r="F310" s="73">
        <v>46491</v>
      </c>
      <c r="G310" s="73">
        <v>46491</v>
      </c>
      <c r="H310" s="72"/>
      <c r="I310" s="72"/>
      <c r="J310" s="72"/>
      <c r="K310" s="72"/>
    </row>
    <row r="311" spans="1:11" ht="19.5" customHeight="1">
      <c r="A311" s="82" t="s">
        <v>1079</v>
      </c>
      <c r="B311" s="83">
        <v>12</v>
      </c>
      <c r="C311" s="82" t="s">
        <v>1080</v>
      </c>
      <c r="D311" s="83" t="s">
        <v>1081</v>
      </c>
      <c r="E311" s="94" t="s">
        <v>1082</v>
      </c>
      <c r="F311" s="96">
        <f>[1]CONFIGURACIÓN!$B$4+174</f>
        <v>46348</v>
      </c>
      <c r="G311" s="73">
        <f>[1]CONFIGURACIÓN!$B$4+182</f>
        <v>46356</v>
      </c>
      <c r="H311" s="72" t="s">
        <v>348</v>
      </c>
      <c r="I311" s="72" t="s">
        <v>1083</v>
      </c>
      <c r="J311" s="72"/>
      <c r="K311" s="72"/>
    </row>
    <row r="312" spans="1:11" ht="19.5" customHeight="1">
      <c r="A312" s="95" t="s">
        <v>1084</v>
      </c>
      <c r="B312" s="71">
        <v>12.1</v>
      </c>
      <c r="C312" s="72" t="s">
        <v>1085</v>
      </c>
      <c r="D312" s="71" t="s">
        <v>221</v>
      </c>
      <c r="E312" s="72" t="s">
        <v>1086</v>
      </c>
      <c r="F312" s="73"/>
      <c r="G312" s="73"/>
      <c r="H312" s="72" t="s">
        <v>218</v>
      </c>
      <c r="I312" s="72" t="s">
        <v>1083</v>
      </c>
      <c r="J312" s="72"/>
      <c r="K312" s="72"/>
    </row>
    <row r="313" spans="1:11" ht="19.5" customHeight="1">
      <c r="A313" s="95" t="s">
        <v>1087</v>
      </c>
      <c r="B313" s="71">
        <v>12.2</v>
      </c>
      <c r="C313" s="72" t="s">
        <v>1088</v>
      </c>
      <c r="D313" s="71" t="s">
        <v>221</v>
      </c>
      <c r="E313" s="72" t="s">
        <v>1089</v>
      </c>
      <c r="F313" s="73"/>
      <c r="G313" s="73"/>
      <c r="H313" s="72" t="s">
        <v>218</v>
      </c>
      <c r="I313" s="72" t="s">
        <v>745</v>
      </c>
      <c r="J313" s="72"/>
      <c r="K313" s="72"/>
    </row>
    <row r="314" spans="1:11" ht="19.5" customHeight="1">
      <c r="A314" s="95" t="s">
        <v>1090</v>
      </c>
      <c r="B314" s="71">
        <v>12.3</v>
      </c>
      <c r="C314" s="72" t="s">
        <v>1091</v>
      </c>
      <c r="D314" s="71" t="s">
        <v>252</v>
      </c>
      <c r="E314" s="72" t="s">
        <v>1092</v>
      </c>
      <c r="F314" s="73"/>
      <c r="G314" s="73"/>
      <c r="H314" s="72" t="s">
        <v>348</v>
      </c>
      <c r="I314" s="72" t="s">
        <v>747</v>
      </c>
      <c r="J314" s="72"/>
      <c r="K314" s="72"/>
    </row>
    <row r="315" spans="1:11" ht="19.5" customHeight="1">
      <c r="A315" s="95" t="s">
        <v>1093</v>
      </c>
      <c r="B315" s="71">
        <v>12.4</v>
      </c>
      <c r="C315" s="72" t="s">
        <v>1094</v>
      </c>
      <c r="D315" s="71" t="s">
        <v>252</v>
      </c>
      <c r="E315" s="72" t="s">
        <v>1095</v>
      </c>
      <c r="F315" s="73"/>
      <c r="G315" s="73"/>
      <c r="H315" s="72" t="s">
        <v>1096</v>
      </c>
      <c r="I315" s="72" t="s">
        <v>749</v>
      </c>
      <c r="J315" s="72"/>
      <c r="K315" s="72"/>
    </row>
    <row r="316" spans="1:11" ht="19.5" customHeight="1">
      <c r="A316" s="95" t="s">
        <v>1097</v>
      </c>
      <c r="B316" s="71">
        <v>12.5</v>
      </c>
      <c r="C316" s="97" t="s">
        <v>1098</v>
      </c>
      <c r="D316" s="89" t="s">
        <v>252</v>
      </c>
      <c r="E316" s="72" t="s">
        <v>1099</v>
      </c>
      <c r="F316" s="73"/>
      <c r="G316" s="73"/>
      <c r="H316" s="72" t="s">
        <v>1100</v>
      </c>
      <c r="I316" s="72" t="s">
        <v>751</v>
      </c>
      <c r="J316" s="72"/>
      <c r="K316" s="72"/>
    </row>
    <row r="317" spans="1:11" ht="19.5" customHeight="1">
      <c r="A317" s="95" t="s">
        <v>1101</v>
      </c>
      <c r="B317" s="71">
        <v>12.6</v>
      </c>
      <c r="C317" s="72" t="s">
        <v>1102</v>
      </c>
      <c r="D317" s="71" t="s">
        <v>226</v>
      </c>
      <c r="E317" s="72" t="s">
        <v>1103</v>
      </c>
      <c r="F317" s="73"/>
      <c r="G317" s="73"/>
      <c r="H317" s="72" t="s">
        <v>1104</v>
      </c>
      <c r="I317" s="72" t="s">
        <v>751</v>
      </c>
      <c r="J317" s="72"/>
      <c r="K317" s="72"/>
    </row>
    <row r="318" spans="1:11" ht="19.5" customHeight="1">
      <c r="A318" s="95" t="s">
        <v>1105</v>
      </c>
      <c r="B318" s="89">
        <v>12.7</v>
      </c>
      <c r="C318" s="97" t="s">
        <v>1106</v>
      </c>
      <c r="D318" s="89" t="s">
        <v>226</v>
      </c>
      <c r="E318" s="72" t="s">
        <v>1107</v>
      </c>
      <c r="F318" s="73"/>
      <c r="G318" s="73"/>
      <c r="H318" s="72"/>
      <c r="I318" s="72"/>
      <c r="J318" s="72"/>
      <c r="K318" s="72"/>
    </row>
    <row r="319" spans="1:11" ht="19.5" customHeight="1">
      <c r="A319" s="95" t="s">
        <v>1108</v>
      </c>
      <c r="B319" s="89">
        <v>12.8</v>
      </c>
      <c r="C319" s="97" t="s">
        <v>1109</v>
      </c>
      <c r="D319" s="89" t="s">
        <v>226</v>
      </c>
      <c r="E319" s="72" t="s">
        <v>1110</v>
      </c>
      <c r="F319" s="73"/>
      <c r="G319" s="73"/>
      <c r="H319" s="72"/>
      <c r="I319" s="72"/>
      <c r="J319" s="72"/>
      <c r="K319" s="72"/>
    </row>
    <row r="320" spans="1:11" ht="19.5" customHeight="1">
      <c r="A320" s="95" t="s">
        <v>1111</v>
      </c>
      <c r="B320" s="89">
        <v>12.9</v>
      </c>
      <c r="C320" s="72" t="s">
        <v>1112</v>
      </c>
      <c r="D320" s="71" t="s">
        <v>226</v>
      </c>
      <c r="E320" s="72" t="s">
        <v>1113</v>
      </c>
      <c r="F320" s="73"/>
      <c r="G320" s="73"/>
      <c r="H320" s="72" t="s">
        <v>348</v>
      </c>
      <c r="I320" s="72" t="s">
        <v>753</v>
      </c>
      <c r="J320" s="72"/>
      <c r="K320" s="72"/>
    </row>
    <row r="321" spans="1:11" ht="19.5" customHeight="1">
      <c r="A321" s="95" t="s">
        <v>1114</v>
      </c>
      <c r="B321" s="89">
        <v>12.1</v>
      </c>
      <c r="C321" s="72" t="s">
        <v>1115</v>
      </c>
      <c r="D321" s="71" t="s">
        <v>226</v>
      </c>
      <c r="E321" s="72" t="s">
        <v>1116</v>
      </c>
      <c r="F321" s="73"/>
      <c r="G321" s="73"/>
      <c r="H321" s="72" t="s">
        <v>1117</v>
      </c>
      <c r="I321" s="72" t="s">
        <v>753</v>
      </c>
      <c r="J321" s="72"/>
      <c r="K321" s="72"/>
    </row>
    <row r="322" spans="1:11" ht="19.5" customHeight="1">
      <c r="A322" s="95" t="s">
        <v>1118</v>
      </c>
      <c r="B322" s="89">
        <v>12.11</v>
      </c>
      <c r="C322" s="97" t="s">
        <v>1119</v>
      </c>
      <c r="D322" s="89" t="s">
        <v>221</v>
      </c>
      <c r="E322" s="72" t="s">
        <v>1120</v>
      </c>
      <c r="F322" s="73"/>
      <c r="G322" s="73"/>
      <c r="H322" s="72"/>
      <c r="I322" s="72"/>
      <c r="J322" s="72"/>
      <c r="K322" s="72"/>
    </row>
    <row r="323" spans="1:11" ht="19.5" customHeight="1">
      <c r="A323" s="95" t="s">
        <v>1121</v>
      </c>
      <c r="B323" s="89">
        <v>12.12</v>
      </c>
      <c r="C323" s="97" t="s">
        <v>1122</v>
      </c>
      <c r="D323" s="89" t="s">
        <v>226</v>
      </c>
      <c r="E323" s="72" t="s">
        <v>1123</v>
      </c>
      <c r="F323" s="73"/>
      <c r="G323" s="73"/>
      <c r="H323" s="72"/>
      <c r="I323" s="72"/>
      <c r="J323" s="72"/>
      <c r="K323" s="72"/>
    </row>
    <row r="324" spans="1:11" ht="19.5" customHeight="1">
      <c r="A324" s="95" t="s">
        <v>1124</v>
      </c>
      <c r="B324" s="89">
        <v>12.13</v>
      </c>
      <c r="C324" s="97" t="s">
        <v>1125</v>
      </c>
      <c r="D324" s="89" t="s">
        <v>255</v>
      </c>
      <c r="E324" s="72" t="s">
        <v>1126</v>
      </c>
      <c r="F324" s="73"/>
      <c r="G324" s="73"/>
      <c r="H324" s="72"/>
      <c r="I324" s="72"/>
      <c r="J324" s="72"/>
      <c r="K324" s="72"/>
    </row>
    <row r="325" spans="1:11" ht="19.5" customHeight="1">
      <c r="A325" s="79" t="s">
        <v>1127</v>
      </c>
      <c r="B325" s="80">
        <v>12</v>
      </c>
      <c r="C325" s="79" t="s">
        <v>1128</v>
      </c>
      <c r="D325" s="80" t="s">
        <v>235</v>
      </c>
      <c r="E325" s="72" t="s">
        <v>236</v>
      </c>
      <c r="F325" s="73"/>
      <c r="G325" s="73"/>
      <c r="H325" s="81" t="s">
        <v>261</v>
      </c>
      <c r="I325" s="81" t="s">
        <v>763</v>
      </c>
      <c r="J325" s="81" t="s">
        <v>238</v>
      </c>
      <c r="K325" s="72"/>
    </row>
    <row r="326" spans="1:11" ht="19.5" customHeight="1">
      <c r="A326" s="65" t="s">
        <v>1129</v>
      </c>
      <c r="B326" s="66">
        <v>13</v>
      </c>
      <c r="C326" s="65" t="s">
        <v>1130</v>
      </c>
      <c r="D326" s="66" t="s">
        <v>1131</v>
      </c>
      <c r="E326" s="94" t="s">
        <v>1132</v>
      </c>
      <c r="F326" s="96">
        <f>[1]CONFIGURACIÓN!$B$4+287</f>
        <v>46461</v>
      </c>
      <c r="G326" s="73">
        <f>[1]CONFIGURACIÓN!$B$4+316</f>
        <v>46490</v>
      </c>
      <c r="H326" s="65" t="s">
        <v>199</v>
      </c>
      <c r="I326" s="65" t="s">
        <v>1083</v>
      </c>
      <c r="J326" s="72"/>
      <c r="K326" s="72"/>
    </row>
    <row r="327" spans="1:11" ht="19.5" customHeight="1">
      <c r="A327" s="72" t="s">
        <v>1133</v>
      </c>
      <c r="B327" s="71">
        <v>13.1</v>
      </c>
      <c r="C327" s="72" t="s">
        <v>1134</v>
      </c>
      <c r="D327" s="71" t="s">
        <v>193</v>
      </c>
      <c r="E327" s="72" t="s">
        <v>1135</v>
      </c>
      <c r="F327" s="73"/>
      <c r="G327" s="73"/>
      <c r="H327" s="72" t="s">
        <v>1104</v>
      </c>
      <c r="I327" s="72" t="s">
        <v>1083</v>
      </c>
      <c r="J327" s="72"/>
      <c r="K327" s="72"/>
    </row>
    <row r="328" spans="1:11" ht="19.5" customHeight="1">
      <c r="A328" s="72" t="s">
        <v>1136</v>
      </c>
      <c r="B328" s="71">
        <v>13.2</v>
      </c>
      <c r="C328" s="72" t="s">
        <v>1137</v>
      </c>
      <c r="D328" s="71" t="s">
        <v>182</v>
      </c>
      <c r="E328" s="72" t="s">
        <v>1138</v>
      </c>
      <c r="F328" s="73"/>
      <c r="G328" s="73"/>
      <c r="H328" s="72" t="s">
        <v>1104</v>
      </c>
      <c r="I328" s="72" t="s">
        <v>1084</v>
      </c>
      <c r="J328" s="72"/>
      <c r="K328" s="72"/>
    </row>
    <row r="329" spans="1:11" ht="19.5" customHeight="1">
      <c r="A329" s="72" t="s">
        <v>1139</v>
      </c>
      <c r="B329" s="71">
        <v>13.3</v>
      </c>
      <c r="C329" s="72" t="s">
        <v>1140</v>
      </c>
      <c r="D329" s="71" t="s">
        <v>193</v>
      </c>
      <c r="E329" s="72" t="s">
        <v>1141</v>
      </c>
      <c r="F329" s="73"/>
      <c r="G329" s="73"/>
      <c r="H329" s="72" t="s">
        <v>1104</v>
      </c>
      <c r="I329" s="72" t="s">
        <v>1083</v>
      </c>
      <c r="J329" s="72"/>
      <c r="K329" s="72"/>
    </row>
    <row r="330" spans="1:11" ht="25.5" customHeight="1">
      <c r="A330" s="72" t="s">
        <v>1142</v>
      </c>
      <c r="B330" s="71">
        <v>13.4</v>
      </c>
      <c r="C330" s="72" t="s">
        <v>1143</v>
      </c>
      <c r="D330" s="71" t="s">
        <v>221</v>
      </c>
      <c r="E330" s="72" t="s">
        <v>1144</v>
      </c>
      <c r="F330" s="73"/>
      <c r="G330" s="73"/>
      <c r="H330" s="72" t="s">
        <v>1104</v>
      </c>
      <c r="I330" s="72" t="s">
        <v>1090</v>
      </c>
      <c r="J330" s="72"/>
      <c r="K330" s="72"/>
    </row>
    <row r="331" spans="1:11" ht="19.5" customHeight="1">
      <c r="A331" s="72" t="s">
        <v>1145</v>
      </c>
      <c r="B331" s="71">
        <v>13.5</v>
      </c>
      <c r="C331" s="72" t="s">
        <v>1146</v>
      </c>
      <c r="D331" s="71" t="s">
        <v>226</v>
      </c>
      <c r="E331" s="72" t="s">
        <v>1147</v>
      </c>
      <c r="F331" s="73"/>
      <c r="G331" s="73"/>
      <c r="H331" s="72" t="s">
        <v>1148</v>
      </c>
      <c r="I331" s="72" t="s">
        <v>1093</v>
      </c>
      <c r="J331" s="72"/>
      <c r="K331" s="72"/>
    </row>
    <row r="332" spans="1:11" ht="19.5" customHeight="1">
      <c r="A332" s="72" t="s">
        <v>1149</v>
      </c>
      <c r="B332" s="71">
        <v>13.6</v>
      </c>
      <c r="C332" s="72" t="s">
        <v>1150</v>
      </c>
      <c r="D332" s="71" t="s">
        <v>252</v>
      </c>
      <c r="E332" s="72" t="s">
        <v>1151</v>
      </c>
      <c r="F332" s="73"/>
      <c r="G332" s="73"/>
      <c r="H332" s="72" t="s">
        <v>1104</v>
      </c>
      <c r="I332" s="72" t="s">
        <v>1087</v>
      </c>
      <c r="J332" s="72"/>
      <c r="K332" s="72"/>
    </row>
    <row r="333" spans="1:11" ht="19.5" customHeight="1">
      <c r="A333" s="72" t="s">
        <v>1152</v>
      </c>
      <c r="B333" s="71">
        <v>13.7</v>
      </c>
      <c r="C333" s="72" t="s">
        <v>1153</v>
      </c>
      <c r="D333" s="71" t="s">
        <v>182</v>
      </c>
      <c r="E333" s="72" t="s">
        <v>1154</v>
      </c>
      <c r="F333" s="73"/>
      <c r="G333" s="73"/>
      <c r="H333" s="72" t="s">
        <v>1155</v>
      </c>
      <c r="I333" s="72" t="s">
        <v>1083</v>
      </c>
      <c r="J333" s="72"/>
      <c r="K333" s="72"/>
    </row>
    <row r="334" spans="1:11" ht="19.5" customHeight="1">
      <c r="A334" s="72" t="s">
        <v>1156</v>
      </c>
      <c r="B334" s="71">
        <v>13.8</v>
      </c>
      <c r="C334" s="72" t="s">
        <v>1157</v>
      </c>
      <c r="D334" s="71" t="s">
        <v>1158</v>
      </c>
      <c r="E334" s="72" t="s">
        <v>1159</v>
      </c>
      <c r="F334" s="73"/>
      <c r="G334" s="73"/>
      <c r="H334" s="72" t="s">
        <v>273</v>
      </c>
      <c r="I334" s="72" t="s">
        <v>1105</v>
      </c>
      <c r="J334" s="72"/>
      <c r="K334" s="72"/>
    </row>
    <row r="335" spans="1:11" ht="19.5" customHeight="1">
      <c r="A335" s="72" t="s">
        <v>1160</v>
      </c>
      <c r="B335" s="71">
        <v>13.9</v>
      </c>
      <c r="C335" s="72" t="s">
        <v>1161</v>
      </c>
      <c r="D335" s="71" t="s">
        <v>176</v>
      </c>
      <c r="E335" s="72" t="s">
        <v>1162</v>
      </c>
      <c r="F335" s="73"/>
      <c r="G335" s="73"/>
      <c r="H335" s="72" t="s">
        <v>273</v>
      </c>
      <c r="I335" s="72" t="s">
        <v>1108</v>
      </c>
      <c r="J335" s="72"/>
      <c r="K335" s="72"/>
    </row>
    <row r="336" spans="1:11" ht="19.5" customHeight="1">
      <c r="A336" s="72" t="s">
        <v>1163</v>
      </c>
      <c r="B336" s="71">
        <v>13.1</v>
      </c>
      <c r="C336" s="72" t="s">
        <v>1164</v>
      </c>
      <c r="D336" s="71" t="s">
        <v>221</v>
      </c>
      <c r="E336" s="72" t="s">
        <v>1165</v>
      </c>
      <c r="F336" s="73"/>
      <c r="G336" s="73"/>
      <c r="H336" s="72" t="s">
        <v>273</v>
      </c>
      <c r="I336" s="72" t="s">
        <v>1105</v>
      </c>
      <c r="J336" s="72"/>
      <c r="K336" s="72"/>
    </row>
    <row r="337" spans="1:11" ht="19.5" customHeight="1">
      <c r="A337" s="72" t="s">
        <v>1166</v>
      </c>
      <c r="B337" s="71">
        <v>13.11</v>
      </c>
      <c r="C337" s="72" t="s">
        <v>1167</v>
      </c>
      <c r="D337" s="71" t="s">
        <v>221</v>
      </c>
      <c r="E337" s="72" t="s">
        <v>1168</v>
      </c>
      <c r="F337" s="73"/>
      <c r="G337" s="73"/>
      <c r="H337" s="72" t="s">
        <v>273</v>
      </c>
      <c r="I337" s="72" t="s">
        <v>1105</v>
      </c>
      <c r="J337" s="72"/>
      <c r="K337" s="72"/>
    </row>
    <row r="338" spans="1:11" ht="19.5" customHeight="1">
      <c r="A338" s="72" t="s">
        <v>1169</v>
      </c>
      <c r="B338" s="71">
        <v>13.12</v>
      </c>
      <c r="C338" s="72" t="s">
        <v>1170</v>
      </c>
      <c r="D338" s="71" t="s">
        <v>182</v>
      </c>
      <c r="E338" s="72" t="s">
        <v>1171</v>
      </c>
      <c r="F338" s="73"/>
      <c r="G338" s="73"/>
      <c r="H338" s="72" t="s">
        <v>1172</v>
      </c>
      <c r="I338" s="72" t="s">
        <v>1083</v>
      </c>
      <c r="J338" s="72"/>
      <c r="K338" s="72"/>
    </row>
    <row r="339" spans="1:11" ht="19.5" customHeight="1">
      <c r="A339" s="72" t="s">
        <v>1173</v>
      </c>
      <c r="B339" s="71">
        <v>13.13</v>
      </c>
      <c r="C339" s="72" t="s">
        <v>1174</v>
      </c>
      <c r="D339" s="71" t="s">
        <v>255</v>
      </c>
      <c r="E339" s="72" t="s">
        <v>1175</v>
      </c>
      <c r="F339" s="73"/>
      <c r="G339" s="73"/>
      <c r="H339" s="72" t="s">
        <v>1176</v>
      </c>
      <c r="I339" s="72" t="s">
        <v>1121</v>
      </c>
      <c r="J339" s="72"/>
      <c r="K339" s="72"/>
    </row>
    <row r="340" spans="1:11" ht="19.5" customHeight="1">
      <c r="A340" s="72" t="s">
        <v>1177</v>
      </c>
      <c r="B340" s="71">
        <v>13.14</v>
      </c>
      <c r="C340" s="72" t="s">
        <v>1178</v>
      </c>
      <c r="D340" s="71" t="s">
        <v>1158</v>
      </c>
      <c r="E340" s="72" t="s">
        <v>1179</v>
      </c>
      <c r="F340" s="73"/>
      <c r="G340" s="73"/>
      <c r="H340" s="72" t="s">
        <v>1180</v>
      </c>
      <c r="I340" s="72" t="s">
        <v>1083</v>
      </c>
      <c r="J340" s="72"/>
      <c r="K340" s="72"/>
    </row>
    <row r="341" spans="1:11" ht="25.5" customHeight="1">
      <c r="A341" s="72" t="s">
        <v>1181</v>
      </c>
      <c r="B341" s="71">
        <v>13.15</v>
      </c>
      <c r="C341" s="72" t="s">
        <v>1182</v>
      </c>
      <c r="D341" s="71" t="s">
        <v>252</v>
      </c>
      <c r="E341" s="72" t="s">
        <v>1183</v>
      </c>
      <c r="F341" s="73"/>
      <c r="G341" s="73"/>
      <c r="H341" s="72" t="s">
        <v>1180</v>
      </c>
      <c r="I341" s="72" t="s">
        <v>1184</v>
      </c>
      <c r="J341" s="72"/>
      <c r="K341" s="72"/>
    </row>
    <row r="342" spans="1:11" ht="19.5" customHeight="1">
      <c r="A342" s="72" t="s">
        <v>1185</v>
      </c>
      <c r="B342" s="71">
        <v>13.16</v>
      </c>
      <c r="C342" s="72" t="s">
        <v>1186</v>
      </c>
      <c r="D342" s="71" t="s">
        <v>255</v>
      </c>
      <c r="E342" s="72" t="s">
        <v>1187</v>
      </c>
      <c r="F342" s="73"/>
      <c r="G342" s="73"/>
      <c r="H342" s="72" t="s">
        <v>1188</v>
      </c>
      <c r="I342" s="72" t="s">
        <v>1189</v>
      </c>
      <c r="J342" s="72"/>
      <c r="K342" s="72"/>
    </row>
    <row r="343" spans="1:11" ht="19.5" customHeight="1">
      <c r="A343" s="72" t="s">
        <v>1190</v>
      </c>
      <c r="B343" s="71">
        <v>13.17</v>
      </c>
      <c r="C343" s="72" t="s">
        <v>1191</v>
      </c>
      <c r="D343" s="71" t="s">
        <v>226</v>
      </c>
      <c r="E343" s="72" t="s">
        <v>1192</v>
      </c>
      <c r="F343" s="73"/>
      <c r="G343" s="73"/>
      <c r="H343" s="72" t="s">
        <v>1193</v>
      </c>
      <c r="I343" s="72" t="s">
        <v>1111</v>
      </c>
      <c r="J343" s="72"/>
      <c r="K343" s="72"/>
    </row>
    <row r="344" spans="1:11" ht="19.5" customHeight="1">
      <c r="A344" s="79" t="s">
        <v>1194</v>
      </c>
      <c r="B344" s="80">
        <v>13</v>
      </c>
      <c r="C344" s="79" t="s">
        <v>1195</v>
      </c>
      <c r="D344" s="80" t="s">
        <v>235</v>
      </c>
      <c r="E344" s="72" t="s">
        <v>1196</v>
      </c>
      <c r="F344" s="73"/>
      <c r="G344" s="73"/>
      <c r="H344" s="81" t="s">
        <v>261</v>
      </c>
      <c r="I344" s="81" t="s">
        <v>1197</v>
      </c>
      <c r="J344" s="81" t="s">
        <v>238</v>
      </c>
      <c r="K344" s="72"/>
    </row>
    <row r="345" spans="1:11" ht="19.5" customHeight="1">
      <c r="A345" s="65" t="s">
        <v>1198</v>
      </c>
      <c r="B345" s="66">
        <v>14</v>
      </c>
      <c r="C345" s="65" t="s">
        <v>1199</v>
      </c>
      <c r="D345" s="66" t="s">
        <v>1200</v>
      </c>
      <c r="E345" s="94" t="s">
        <v>1201</v>
      </c>
      <c r="F345" s="96">
        <f>[1]CONFIGURACIÓN!$B$4+232</f>
        <v>46406</v>
      </c>
      <c r="G345" s="73">
        <f>[1]CONFIGURACIÓN!$B$4+288</f>
        <v>46462</v>
      </c>
      <c r="H345" s="65" t="s">
        <v>1202</v>
      </c>
      <c r="I345" s="65" t="s">
        <v>1203</v>
      </c>
      <c r="J345" s="72"/>
      <c r="K345" s="72"/>
    </row>
    <row r="346" spans="1:11" ht="19.5" customHeight="1">
      <c r="A346" s="72" t="s">
        <v>1204</v>
      </c>
      <c r="B346" s="71">
        <v>14.1</v>
      </c>
      <c r="C346" s="72" t="s">
        <v>1205</v>
      </c>
      <c r="D346" s="71" t="s">
        <v>221</v>
      </c>
      <c r="E346" s="72" t="s">
        <v>1206</v>
      </c>
      <c r="F346" s="73"/>
      <c r="G346" s="73"/>
      <c r="H346" s="72" t="s">
        <v>1207</v>
      </c>
      <c r="I346" s="72" t="s">
        <v>1203</v>
      </c>
      <c r="J346" s="72"/>
      <c r="K346" s="72"/>
    </row>
    <row r="347" spans="1:11" ht="19.5" customHeight="1">
      <c r="A347" s="72" t="s">
        <v>1208</v>
      </c>
      <c r="B347" s="71">
        <v>14.2</v>
      </c>
      <c r="C347" s="72" t="s">
        <v>1209</v>
      </c>
      <c r="D347" s="71" t="s">
        <v>309</v>
      </c>
      <c r="E347" s="72" t="s">
        <v>1210</v>
      </c>
      <c r="F347" s="73"/>
      <c r="G347" s="73"/>
      <c r="H347" s="72" t="s">
        <v>1202</v>
      </c>
      <c r="I347" s="72" t="s">
        <v>1136</v>
      </c>
      <c r="J347" s="72"/>
      <c r="K347" s="72"/>
    </row>
    <row r="348" spans="1:11" ht="19.5" customHeight="1">
      <c r="A348" s="72" t="s">
        <v>1211</v>
      </c>
      <c r="B348" s="71">
        <v>14.3</v>
      </c>
      <c r="C348" s="72" t="s">
        <v>1212</v>
      </c>
      <c r="D348" s="71" t="s">
        <v>226</v>
      </c>
      <c r="E348" s="72" t="s">
        <v>1213</v>
      </c>
      <c r="F348" s="73"/>
      <c r="G348" s="73"/>
      <c r="H348" s="72" t="s">
        <v>1202</v>
      </c>
      <c r="I348" s="72" t="s">
        <v>1139</v>
      </c>
      <c r="J348" s="72"/>
      <c r="K348" s="72"/>
    </row>
    <row r="349" spans="1:11" ht="19.5" customHeight="1">
      <c r="A349" s="72" t="s">
        <v>1214</v>
      </c>
      <c r="B349" s="71">
        <v>14.4</v>
      </c>
      <c r="C349" s="72" t="s">
        <v>1215</v>
      </c>
      <c r="D349" s="71" t="s">
        <v>193</v>
      </c>
      <c r="E349" s="72" t="s">
        <v>1216</v>
      </c>
      <c r="F349" s="73"/>
      <c r="G349" s="73"/>
      <c r="H349" s="72" t="s">
        <v>1217</v>
      </c>
      <c r="I349" s="72" t="s">
        <v>1139</v>
      </c>
      <c r="J349" s="72"/>
      <c r="K349" s="72"/>
    </row>
    <row r="350" spans="1:11" ht="19.5" customHeight="1">
      <c r="A350" s="72" t="s">
        <v>1218</v>
      </c>
      <c r="B350" s="71">
        <v>14.5</v>
      </c>
      <c r="C350" s="72" t="s">
        <v>1219</v>
      </c>
      <c r="D350" s="71" t="s">
        <v>1158</v>
      </c>
      <c r="E350" s="72" t="s">
        <v>1220</v>
      </c>
      <c r="F350" s="73"/>
      <c r="G350" s="73"/>
      <c r="H350" s="72" t="s">
        <v>1221</v>
      </c>
      <c r="I350" s="72" t="s">
        <v>1139</v>
      </c>
      <c r="J350" s="72"/>
      <c r="K350" s="72"/>
    </row>
    <row r="351" spans="1:11" ht="19.5" customHeight="1">
      <c r="A351" s="72" t="s">
        <v>1222</v>
      </c>
      <c r="B351" s="71">
        <v>14.6</v>
      </c>
      <c r="C351" s="72" t="s">
        <v>1223</v>
      </c>
      <c r="D351" s="71" t="s">
        <v>252</v>
      </c>
      <c r="E351" s="72" t="s">
        <v>1224</v>
      </c>
      <c r="F351" s="73"/>
      <c r="G351" s="73"/>
      <c r="H351" s="72" t="s">
        <v>1225</v>
      </c>
      <c r="I351" s="72" t="s">
        <v>1149</v>
      </c>
      <c r="J351" s="72"/>
      <c r="K351" s="72"/>
    </row>
    <row r="352" spans="1:11" ht="19.5" customHeight="1">
      <c r="A352" s="79" t="s">
        <v>1226</v>
      </c>
      <c r="B352" s="80">
        <v>14</v>
      </c>
      <c r="C352" s="79" t="s">
        <v>1227</v>
      </c>
      <c r="D352" s="80" t="s">
        <v>235</v>
      </c>
      <c r="E352" s="72" t="s">
        <v>236</v>
      </c>
      <c r="F352" s="73"/>
      <c r="G352" s="73"/>
      <c r="H352" s="81" t="s">
        <v>261</v>
      </c>
      <c r="I352" s="81" t="s">
        <v>1152</v>
      </c>
      <c r="J352" s="81" t="s">
        <v>238</v>
      </c>
      <c r="K352" s="72"/>
    </row>
    <row r="353" spans="1:11" ht="19.5" customHeight="1">
      <c r="A353" s="65" t="s">
        <v>1228</v>
      </c>
      <c r="B353" s="66">
        <v>15</v>
      </c>
      <c r="C353" s="65" t="s">
        <v>1229</v>
      </c>
      <c r="D353" s="66" t="s">
        <v>1230</v>
      </c>
      <c r="E353" s="87" t="s">
        <v>1231</v>
      </c>
      <c r="F353" s="96">
        <f>[1]CONFIGURACIÓN!$B$4+232</f>
        <v>46406</v>
      </c>
      <c r="G353" s="73">
        <f>[1]CONFIGURACIÓN!$B$4+260</f>
        <v>46434</v>
      </c>
      <c r="H353" s="65" t="s">
        <v>1232</v>
      </c>
      <c r="I353" s="65" t="s">
        <v>1233</v>
      </c>
      <c r="J353" s="72"/>
      <c r="K353" s="72"/>
    </row>
    <row r="354" spans="1:11" ht="25.5" customHeight="1">
      <c r="A354" s="72" t="s">
        <v>1234</v>
      </c>
      <c r="B354" s="71">
        <v>15.1</v>
      </c>
      <c r="C354" s="72" t="s">
        <v>1235</v>
      </c>
      <c r="D354" s="71" t="s">
        <v>182</v>
      </c>
      <c r="E354" s="87" t="s">
        <v>1236</v>
      </c>
      <c r="F354" s="73"/>
      <c r="G354" s="73"/>
      <c r="H354" s="72" t="s">
        <v>1237</v>
      </c>
      <c r="I354" s="72" t="s">
        <v>1233</v>
      </c>
      <c r="J354" s="72"/>
      <c r="K354" s="72"/>
    </row>
    <row r="355" spans="1:11" ht="19.5" customHeight="1">
      <c r="A355" s="72" t="s">
        <v>1238</v>
      </c>
      <c r="B355" s="71">
        <v>15.2</v>
      </c>
      <c r="C355" s="72" t="s">
        <v>1239</v>
      </c>
      <c r="D355" s="71" t="s">
        <v>252</v>
      </c>
      <c r="E355" s="87" t="s">
        <v>1240</v>
      </c>
      <c r="F355" s="73"/>
      <c r="G355" s="73"/>
      <c r="H355" s="72" t="s">
        <v>348</v>
      </c>
      <c r="I355" s="72" t="s">
        <v>1204</v>
      </c>
      <c r="J355" s="72"/>
      <c r="K355" s="72"/>
    </row>
    <row r="356" spans="1:11" ht="19.5" customHeight="1">
      <c r="A356" s="72" t="s">
        <v>1241</v>
      </c>
      <c r="B356" s="71">
        <v>15.3</v>
      </c>
      <c r="C356" s="72" t="s">
        <v>1242</v>
      </c>
      <c r="D356" s="71" t="s">
        <v>182</v>
      </c>
      <c r="E356" s="87" t="s">
        <v>1243</v>
      </c>
      <c r="F356" s="73"/>
      <c r="G356" s="73"/>
      <c r="H356" s="72" t="s">
        <v>1244</v>
      </c>
      <c r="I356" s="72" t="s">
        <v>1208</v>
      </c>
      <c r="J356" s="72"/>
      <c r="K356" s="72"/>
    </row>
    <row r="357" spans="1:11" ht="19.5" customHeight="1">
      <c r="A357" s="72" t="s">
        <v>1245</v>
      </c>
      <c r="B357" s="71">
        <v>15.4</v>
      </c>
      <c r="C357" s="72" t="s">
        <v>1246</v>
      </c>
      <c r="D357" s="71" t="s">
        <v>221</v>
      </c>
      <c r="E357" s="94" t="s">
        <v>1247</v>
      </c>
      <c r="F357" s="73"/>
      <c r="G357" s="73"/>
      <c r="H357" s="72" t="s">
        <v>1248</v>
      </c>
      <c r="I357" s="72" t="s">
        <v>1211</v>
      </c>
      <c r="J357" s="72"/>
      <c r="K357" s="72"/>
    </row>
    <row r="358" spans="1:11" ht="19.5" customHeight="1">
      <c r="A358" s="72" t="s">
        <v>1249</v>
      </c>
      <c r="B358" s="71">
        <v>15.5</v>
      </c>
      <c r="C358" s="72" t="s">
        <v>1250</v>
      </c>
      <c r="D358" s="71" t="s">
        <v>193</v>
      </c>
      <c r="E358" s="87" t="s">
        <v>1251</v>
      </c>
      <c r="F358" s="73"/>
      <c r="G358" s="73"/>
      <c r="H358" s="72" t="s">
        <v>1252</v>
      </c>
      <c r="I358" s="72" t="s">
        <v>1211</v>
      </c>
      <c r="J358" s="72"/>
      <c r="K358" s="72"/>
    </row>
    <row r="359" spans="1:11" ht="19.5" customHeight="1">
      <c r="A359" s="72" t="s">
        <v>1253</v>
      </c>
      <c r="B359" s="71">
        <v>15.6</v>
      </c>
      <c r="C359" s="72" t="s">
        <v>1254</v>
      </c>
      <c r="D359" s="71" t="s">
        <v>252</v>
      </c>
      <c r="E359" s="87" t="s">
        <v>1255</v>
      </c>
      <c r="F359" s="73"/>
      <c r="G359" s="73"/>
      <c r="H359" s="72" t="s">
        <v>1256</v>
      </c>
      <c r="I359" s="72" t="s">
        <v>1218</v>
      </c>
      <c r="J359" s="72"/>
      <c r="K359" s="72"/>
    </row>
    <row r="360" spans="1:11" ht="19.5" customHeight="1">
      <c r="A360" s="72" t="s">
        <v>1257</v>
      </c>
      <c r="B360" s="71">
        <v>15.7</v>
      </c>
      <c r="C360" s="72" t="s">
        <v>1258</v>
      </c>
      <c r="D360" s="71" t="s">
        <v>221</v>
      </c>
      <c r="E360" s="87" t="s">
        <v>1259</v>
      </c>
      <c r="F360" s="73"/>
      <c r="G360" s="73"/>
      <c r="H360" s="72" t="s">
        <v>1244</v>
      </c>
      <c r="I360" s="72" t="s">
        <v>1204</v>
      </c>
      <c r="J360" s="72"/>
      <c r="K360" s="72"/>
    </row>
    <row r="361" spans="1:11" ht="19.5" customHeight="1">
      <c r="A361" s="72" t="s">
        <v>1260</v>
      </c>
      <c r="B361" s="71">
        <v>15.8</v>
      </c>
      <c r="C361" s="72" t="s">
        <v>1261</v>
      </c>
      <c r="D361" s="71" t="s">
        <v>226</v>
      </c>
      <c r="E361" s="87" t="s">
        <v>1262</v>
      </c>
      <c r="F361" s="73"/>
      <c r="G361" s="73"/>
      <c r="H361" s="72" t="s">
        <v>1263</v>
      </c>
      <c r="I361" s="72" t="s">
        <v>1211</v>
      </c>
      <c r="J361" s="72"/>
      <c r="K361" s="72"/>
    </row>
    <row r="362" spans="1:11" ht="19.5" customHeight="1">
      <c r="A362" s="72" t="s">
        <v>1264</v>
      </c>
      <c r="B362" s="71">
        <v>15.9</v>
      </c>
      <c r="C362" s="72" t="s">
        <v>1265</v>
      </c>
      <c r="D362" s="71" t="s">
        <v>252</v>
      </c>
      <c r="E362" s="87" t="s">
        <v>1266</v>
      </c>
      <c r="F362" s="73"/>
      <c r="G362" s="73"/>
      <c r="H362" s="72" t="s">
        <v>1252</v>
      </c>
      <c r="I362" s="72" t="s">
        <v>1211</v>
      </c>
      <c r="J362" s="72"/>
      <c r="K362" s="72"/>
    </row>
    <row r="363" spans="1:11" ht="19.5" customHeight="1">
      <c r="A363" s="72" t="s">
        <v>1267</v>
      </c>
      <c r="B363" s="71">
        <v>15.1</v>
      </c>
      <c r="C363" s="72" t="s">
        <v>1268</v>
      </c>
      <c r="D363" s="71" t="s">
        <v>221</v>
      </c>
      <c r="E363" s="87" t="s">
        <v>1269</v>
      </c>
      <c r="F363" s="73"/>
      <c r="G363" s="73"/>
      <c r="H363" s="72" t="s">
        <v>1270</v>
      </c>
      <c r="I363" s="72" t="s">
        <v>1271</v>
      </c>
      <c r="J363" s="72"/>
      <c r="K363" s="72"/>
    </row>
    <row r="364" spans="1:11" ht="25.5" customHeight="1">
      <c r="A364" s="72" t="s">
        <v>1272</v>
      </c>
      <c r="B364" s="71">
        <v>15.11</v>
      </c>
      <c r="C364" s="72" t="s">
        <v>1273</v>
      </c>
      <c r="D364" s="71" t="s">
        <v>182</v>
      </c>
      <c r="E364" s="87" t="s">
        <v>1274</v>
      </c>
      <c r="F364" s="73"/>
      <c r="G364" s="73"/>
      <c r="H364" s="72" t="s">
        <v>273</v>
      </c>
      <c r="I364" s="72" t="s">
        <v>1233</v>
      </c>
      <c r="J364" s="72"/>
      <c r="K364" s="72"/>
    </row>
    <row r="365" spans="1:11" ht="19.5" customHeight="1">
      <c r="A365" s="72" t="s">
        <v>1275</v>
      </c>
      <c r="B365" s="71">
        <v>15.12</v>
      </c>
      <c r="C365" s="72" t="s">
        <v>1276</v>
      </c>
      <c r="D365" s="71" t="s">
        <v>1158</v>
      </c>
      <c r="E365" s="87" t="s">
        <v>1277</v>
      </c>
      <c r="F365" s="73"/>
      <c r="G365" s="73"/>
      <c r="H365" s="72" t="s">
        <v>1221</v>
      </c>
      <c r="I365" s="72" t="s">
        <v>1278</v>
      </c>
      <c r="J365" s="72"/>
      <c r="K365" s="72"/>
    </row>
    <row r="366" spans="1:11" ht="19.5" customHeight="1">
      <c r="A366" s="72" t="s">
        <v>1279</v>
      </c>
      <c r="B366" s="71">
        <v>15.13</v>
      </c>
      <c r="C366" s="72" t="s">
        <v>1280</v>
      </c>
      <c r="D366" s="71" t="s">
        <v>221</v>
      </c>
      <c r="E366" s="87" t="s">
        <v>1281</v>
      </c>
      <c r="F366" s="73"/>
      <c r="G366" s="73"/>
      <c r="H366" s="72" t="s">
        <v>1282</v>
      </c>
      <c r="I366" s="72" t="s">
        <v>1283</v>
      </c>
      <c r="J366" s="72"/>
      <c r="K366" s="72"/>
    </row>
    <row r="367" spans="1:11" ht="19.5" customHeight="1">
      <c r="A367" s="72" t="s">
        <v>1284</v>
      </c>
      <c r="B367" s="71">
        <v>15.14</v>
      </c>
      <c r="C367" s="72" t="s">
        <v>1285</v>
      </c>
      <c r="D367" s="71" t="s">
        <v>226</v>
      </c>
      <c r="E367" s="87" t="s">
        <v>1286</v>
      </c>
      <c r="F367" s="73"/>
      <c r="G367" s="73"/>
      <c r="H367" s="72" t="s">
        <v>1104</v>
      </c>
      <c r="I367" s="72" t="s">
        <v>1233</v>
      </c>
      <c r="J367" s="72"/>
      <c r="K367" s="72"/>
    </row>
    <row r="368" spans="1:11" ht="19.5" customHeight="1">
      <c r="A368" s="72" t="s">
        <v>1287</v>
      </c>
      <c r="B368" s="71">
        <v>15.15</v>
      </c>
      <c r="C368" s="72" t="s">
        <v>1288</v>
      </c>
      <c r="D368" s="71" t="s">
        <v>221</v>
      </c>
      <c r="E368" s="87" t="s">
        <v>1289</v>
      </c>
      <c r="F368" s="73"/>
      <c r="G368" s="73"/>
      <c r="H368" s="72" t="s">
        <v>1290</v>
      </c>
      <c r="I368" s="72" t="s">
        <v>1291</v>
      </c>
      <c r="J368" s="72"/>
      <c r="K368" s="72"/>
    </row>
    <row r="369" spans="1:11" ht="19.5" customHeight="1">
      <c r="A369" s="79" t="s">
        <v>1292</v>
      </c>
      <c r="B369" s="80">
        <v>15</v>
      </c>
      <c r="C369" s="79" t="s">
        <v>1293</v>
      </c>
      <c r="D369" s="80" t="s">
        <v>235</v>
      </c>
      <c r="E369" s="87" t="s">
        <v>236</v>
      </c>
      <c r="F369" s="73"/>
      <c r="G369" s="73"/>
      <c r="H369" s="81" t="s">
        <v>184</v>
      </c>
      <c r="I369" s="81" t="s">
        <v>1294</v>
      </c>
      <c r="J369" s="81" t="s">
        <v>238</v>
      </c>
      <c r="K369" s="72"/>
    </row>
    <row r="370" spans="1:11" ht="19.5" customHeight="1">
      <c r="A370" s="98" t="s">
        <v>1295</v>
      </c>
      <c r="B370" s="66">
        <v>16</v>
      </c>
      <c r="C370" s="65" t="s">
        <v>1296</v>
      </c>
      <c r="D370" s="66" t="s">
        <v>1297</v>
      </c>
      <c r="E370" s="87" t="s">
        <v>1298</v>
      </c>
      <c r="F370" s="99">
        <v>46406</v>
      </c>
      <c r="G370" s="73">
        <v>46462</v>
      </c>
      <c r="H370" s="65" t="s">
        <v>1299</v>
      </c>
      <c r="I370" s="65" t="s">
        <v>1233</v>
      </c>
      <c r="J370" s="72"/>
      <c r="K370" s="72"/>
    </row>
    <row r="371" spans="1:11" ht="19.5" customHeight="1">
      <c r="A371" s="100" t="s">
        <v>1300</v>
      </c>
      <c r="B371" s="66">
        <v>16.100000000000001</v>
      </c>
      <c r="C371" s="100" t="s">
        <v>1301</v>
      </c>
      <c r="D371" s="66" t="s">
        <v>1302</v>
      </c>
      <c r="E371" s="87" t="s">
        <v>1303</v>
      </c>
      <c r="F371" s="99"/>
      <c r="G371" s="73"/>
      <c r="H371" s="65" t="s">
        <v>1304</v>
      </c>
      <c r="I371" s="65" t="s">
        <v>1233</v>
      </c>
      <c r="J371" s="72" t="s">
        <v>1305</v>
      </c>
      <c r="K371" s="72"/>
    </row>
    <row r="372" spans="1:11" ht="19.5" customHeight="1">
      <c r="A372" s="100" t="s">
        <v>1306</v>
      </c>
      <c r="B372" s="66">
        <v>16.2</v>
      </c>
      <c r="C372" s="100" t="s">
        <v>1307</v>
      </c>
      <c r="D372" s="66" t="s">
        <v>1308</v>
      </c>
      <c r="E372" s="87" t="s">
        <v>1309</v>
      </c>
      <c r="F372" s="99"/>
      <c r="G372" s="73"/>
      <c r="H372" s="65" t="s">
        <v>1310</v>
      </c>
      <c r="I372" s="65" t="s">
        <v>1300</v>
      </c>
      <c r="J372" s="72" t="s">
        <v>1305</v>
      </c>
      <c r="K372" s="72"/>
    </row>
    <row r="373" spans="1:11" ht="19.5" customHeight="1">
      <c r="A373" s="100" t="s">
        <v>1311</v>
      </c>
      <c r="B373" s="66">
        <v>16.3</v>
      </c>
      <c r="C373" s="100" t="s">
        <v>1312</v>
      </c>
      <c r="D373" s="66" t="s">
        <v>1200</v>
      </c>
      <c r="E373" s="87" t="s">
        <v>1313</v>
      </c>
      <c r="F373" s="99"/>
      <c r="G373" s="73"/>
      <c r="H373" s="65" t="s">
        <v>1314</v>
      </c>
      <c r="I373" s="65" t="s">
        <v>1233</v>
      </c>
      <c r="J373" s="72" t="s">
        <v>1305</v>
      </c>
      <c r="K373" s="72"/>
    </row>
    <row r="374" spans="1:11" ht="19.5" customHeight="1">
      <c r="A374" s="100" t="s">
        <v>1315</v>
      </c>
      <c r="B374" s="66">
        <v>16.399999999999999</v>
      </c>
      <c r="C374" s="100" t="s">
        <v>1316</v>
      </c>
      <c r="D374" s="66" t="s">
        <v>1317</v>
      </c>
      <c r="E374" s="87" t="s">
        <v>1318</v>
      </c>
      <c r="F374" s="99"/>
      <c r="G374" s="73"/>
      <c r="H374" s="65" t="s">
        <v>1319</v>
      </c>
      <c r="I374" s="65" t="s">
        <v>1233</v>
      </c>
      <c r="J374" s="72" t="s">
        <v>1305</v>
      </c>
      <c r="K374" s="72"/>
    </row>
    <row r="375" spans="1:11" ht="19.5" customHeight="1">
      <c r="A375" s="100" t="s">
        <v>1320</v>
      </c>
      <c r="B375" s="66">
        <v>16.5</v>
      </c>
      <c r="C375" s="100" t="s">
        <v>1321</v>
      </c>
      <c r="D375" s="66" t="s">
        <v>1322</v>
      </c>
      <c r="E375" s="87" t="s">
        <v>1323</v>
      </c>
      <c r="F375" s="99"/>
      <c r="G375" s="73"/>
      <c r="H375" s="65" t="s">
        <v>1324</v>
      </c>
      <c r="I375" s="65" t="s">
        <v>1233</v>
      </c>
      <c r="J375" s="72" t="s">
        <v>1305</v>
      </c>
      <c r="K375" s="72"/>
    </row>
    <row r="376" spans="1:11" ht="19.5" customHeight="1">
      <c r="A376" s="100" t="s">
        <v>1325</v>
      </c>
      <c r="B376" s="66">
        <v>16.600000000000001</v>
      </c>
      <c r="C376" s="100" t="s">
        <v>1326</v>
      </c>
      <c r="D376" s="66" t="s">
        <v>1327</v>
      </c>
      <c r="E376" s="87" t="s">
        <v>1328</v>
      </c>
      <c r="F376" s="99"/>
      <c r="G376" s="73"/>
      <c r="H376" s="65" t="s">
        <v>1329</v>
      </c>
      <c r="I376" s="65" t="s">
        <v>1330</v>
      </c>
      <c r="J376" s="72" t="s">
        <v>1305</v>
      </c>
      <c r="K376" s="72"/>
    </row>
    <row r="377" spans="1:11" ht="19.5" customHeight="1">
      <c r="A377" s="100" t="s">
        <v>1331</v>
      </c>
      <c r="B377" s="66">
        <v>16.7</v>
      </c>
      <c r="C377" s="100" t="s">
        <v>1332</v>
      </c>
      <c r="D377" s="66" t="s">
        <v>1333</v>
      </c>
      <c r="E377" s="87" t="s">
        <v>1334</v>
      </c>
      <c r="F377" s="99"/>
      <c r="G377" s="73"/>
      <c r="H377" s="65" t="s">
        <v>1335</v>
      </c>
      <c r="I377" s="65" t="s">
        <v>1336</v>
      </c>
      <c r="J377" s="72" t="s">
        <v>1305</v>
      </c>
      <c r="K377" s="72"/>
    </row>
    <row r="378" spans="1:11" ht="19.5" customHeight="1">
      <c r="A378" s="65"/>
      <c r="B378" s="66"/>
      <c r="C378" s="65"/>
      <c r="D378" s="66"/>
      <c r="E378" s="87"/>
      <c r="F378" s="99"/>
      <c r="G378" s="73"/>
      <c r="H378" s="65"/>
      <c r="I378" s="65"/>
      <c r="J378" s="72"/>
      <c r="K378" s="72"/>
    </row>
    <row r="379" spans="1:11" ht="19.5" customHeight="1">
      <c r="A379" s="79" t="s">
        <v>1337</v>
      </c>
      <c r="B379" s="80">
        <v>16</v>
      </c>
      <c r="C379" s="79" t="s">
        <v>1338</v>
      </c>
      <c r="D379" s="80" t="s">
        <v>235</v>
      </c>
      <c r="E379" s="87" t="s">
        <v>236</v>
      </c>
      <c r="F379" s="73"/>
      <c r="G379" s="73"/>
      <c r="H379" s="81" t="s">
        <v>261</v>
      </c>
      <c r="I379" s="81" t="s">
        <v>1331</v>
      </c>
      <c r="J379" s="81" t="s">
        <v>238</v>
      </c>
      <c r="K379" s="72"/>
    </row>
    <row r="380" spans="1:11" ht="25.5" customHeight="1">
      <c r="A380" s="65" t="s">
        <v>1339</v>
      </c>
      <c r="B380" s="66">
        <v>17</v>
      </c>
      <c r="C380" s="65" t="s">
        <v>1340</v>
      </c>
      <c r="D380" s="66" t="s">
        <v>1322</v>
      </c>
      <c r="E380" s="87" t="s">
        <v>1201</v>
      </c>
      <c r="F380" s="99">
        <f>[1]CONFIGURACIÓN!$B$4+261</f>
        <v>46435</v>
      </c>
      <c r="G380" s="73">
        <f>[1]CONFIGURACIÓN!$B$4+287</f>
        <v>46461</v>
      </c>
      <c r="H380" s="65" t="s">
        <v>1232</v>
      </c>
      <c r="I380" s="65" t="s">
        <v>1330</v>
      </c>
      <c r="J380" s="72"/>
      <c r="K380" s="72"/>
    </row>
    <row r="381" spans="1:11" ht="19.5" customHeight="1">
      <c r="A381" s="72" t="s">
        <v>1341</v>
      </c>
      <c r="B381" s="71">
        <v>17.100000000000001</v>
      </c>
      <c r="C381" s="72" t="s">
        <v>1342</v>
      </c>
      <c r="D381" s="71" t="s">
        <v>193</v>
      </c>
      <c r="E381" s="87" t="s">
        <v>1343</v>
      </c>
      <c r="F381" s="73"/>
      <c r="G381" s="73"/>
      <c r="H381" s="72" t="s">
        <v>1232</v>
      </c>
      <c r="I381" s="72" t="s">
        <v>1330</v>
      </c>
      <c r="J381" s="72"/>
      <c r="K381" s="72"/>
    </row>
    <row r="382" spans="1:11" ht="19.5" customHeight="1">
      <c r="A382" s="72" t="s">
        <v>1344</v>
      </c>
      <c r="B382" s="71">
        <v>17.2</v>
      </c>
      <c r="C382" s="72" t="s">
        <v>1345</v>
      </c>
      <c r="D382" s="71" t="s">
        <v>221</v>
      </c>
      <c r="E382" s="87" t="s">
        <v>1346</v>
      </c>
      <c r="F382" s="73"/>
      <c r="G382" s="73"/>
      <c r="H382" s="72" t="s">
        <v>1232</v>
      </c>
      <c r="I382" s="72" t="s">
        <v>1300</v>
      </c>
      <c r="J382" s="72"/>
      <c r="K382" s="72"/>
    </row>
    <row r="383" spans="1:11" ht="19.5" customHeight="1">
      <c r="A383" s="72" t="s">
        <v>1347</v>
      </c>
      <c r="B383" s="71">
        <v>17.3</v>
      </c>
      <c r="C383" s="72" t="s">
        <v>1348</v>
      </c>
      <c r="D383" s="71" t="s">
        <v>182</v>
      </c>
      <c r="E383" s="87" t="s">
        <v>1349</v>
      </c>
      <c r="F383" s="73"/>
      <c r="G383" s="73"/>
      <c r="H383" s="72" t="s">
        <v>1232</v>
      </c>
      <c r="I383" s="72" t="s">
        <v>1300</v>
      </c>
      <c r="J383" s="72"/>
      <c r="K383" s="72"/>
    </row>
    <row r="384" spans="1:11" ht="19.5" customHeight="1">
      <c r="A384" s="72" t="s">
        <v>1350</v>
      </c>
      <c r="B384" s="71">
        <v>17.399999999999999</v>
      </c>
      <c r="C384" s="72" t="s">
        <v>1351</v>
      </c>
      <c r="D384" s="71" t="s">
        <v>221</v>
      </c>
      <c r="E384" s="87" t="s">
        <v>1352</v>
      </c>
      <c r="F384" s="73"/>
      <c r="G384" s="73"/>
      <c r="H384" s="72" t="s">
        <v>1232</v>
      </c>
      <c r="I384" s="72" t="s">
        <v>1311</v>
      </c>
      <c r="J384" s="72"/>
      <c r="K384" s="72"/>
    </row>
    <row r="385" spans="1:11" ht="19.5" customHeight="1">
      <c r="A385" s="72" t="s">
        <v>1353</v>
      </c>
      <c r="B385" s="71">
        <v>17.5</v>
      </c>
      <c r="C385" s="72" t="s">
        <v>1354</v>
      </c>
      <c r="D385" s="71" t="s">
        <v>221</v>
      </c>
      <c r="E385" s="87" t="s">
        <v>1355</v>
      </c>
      <c r="F385" s="73"/>
      <c r="G385" s="73"/>
      <c r="H385" s="72" t="s">
        <v>1232</v>
      </c>
      <c r="I385" s="72" t="s">
        <v>1300</v>
      </c>
      <c r="J385" s="72"/>
      <c r="K385" s="72"/>
    </row>
    <row r="386" spans="1:11" ht="19.5" customHeight="1">
      <c r="A386" s="72" t="s">
        <v>1356</v>
      </c>
      <c r="B386" s="71">
        <v>17.600000000000001</v>
      </c>
      <c r="C386" s="72" t="s">
        <v>1357</v>
      </c>
      <c r="D386" s="71" t="s">
        <v>226</v>
      </c>
      <c r="E386" s="87" t="s">
        <v>1358</v>
      </c>
      <c r="F386" s="73"/>
      <c r="G386" s="73"/>
      <c r="H386" s="72" t="s">
        <v>218</v>
      </c>
      <c r="I386" s="72" t="s">
        <v>1300</v>
      </c>
      <c r="J386" s="72"/>
      <c r="K386" s="72"/>
    </row>
    <row r="387" spans="1:11" ht="19.5" customHeight="1">
      <c r="A387" s="72" t="s">
        <v>1359</v>
      </c>
      <c r="B387" s="71">
        <v>17.7</v>
      </c>
      <c r="C387" s="72" t="s">
        <v>1360</v>
      </c>
      <c r="D387" s="71" t="s">
        <v>226</v>
      </c>
      <c r="E387" s="87" t="s">
        <v>1361</v>
      </c>
      <c r="F387" s="73"/>
      <c r="G387" s="73"/>
      <c r="H387" s="72" t="s">
        <v>1362</v>
      </c>
      <c r="I387" s="72" t="s">
        <v>1320</v>
      </c>
      <c r="J387" s="72"/>
      <c r="K387" s="72"/>
    </row>
    <row r="388" spans="1:11" ht="25.5" customHeight="1">
      <c r="A388" s="79" t="s">
        <v>1363</v>
      </c>
      <c r="B388" s="80">
        <v>17</v>
      </c>
      <c r="C388" s="79" t="s">
        <v>1364</v>
      </c>
      <c r="D388" s="80" t="s">
        <v>235</v>
      </c>
      <c r="E388" s="87" t="s">
        <v>236</v>
      </c>
      <c r="F388" s="73"/>
      <c r="G388" s="73"/>
      <c r="H388" s="81" t="s">
        <v>184</v>
      </c>
      <c r="I388" s="81" t="s">
        <v>1331</v>
      </c>
      <c r="J388" s="81" t="s">
        <v>238</v>
      </c>
      <c r="K388" s="72"/>
    </row>
    <row r="389" spans="1:11" ht="19.5" customHeight="1">
      <c r="A389" s="65" t="s">
        <v>1365</v>
      </c>
      <c r="B389" s="66">
        <v>18</v>
      </c>
      <c r="C389" s="65" t="s">
        <v>1366</v>
      </c>
      <c r="D389" s="66" t="s">
        <v>1327</v>
      </c>
      <c r="E389" s="87" t="s">
        <v>1201</v>
      </c>
      <c r="F389" s="99">
        <f>[1]CONFIGURACIÓN!$B$4+247</f>
        <v>46421</v>
      </c>
      <c r="G389" s="73">
        <f>[1]CONFIGURACIÓN!$B$4+267</f>
        <v>46441</v>
      </c>
      <c r="H389" s="65" t="s">
        <v>218</v>
      </c>
      <c r="I389" s="65" t="s">
        <v>1367</v>
      </c>
      <c r="J389" s="72"/>
      <c r="K389" s="72"/>
    </row>
    <row r="390" spans="1:11" ht="19.5" customHeight="1">
      <c r="A390" s="72" t="s">
        <v>1368</v>
      </c>
      <c r="B390" s="71">
        <v>18.100000000000001</v>
      </c>
      <c r="C390" s="72" t="s">
        <v>1369</v>
      </c>
      <c r="D390" s="71" t="s">
        <v>182</v>
      </c>
      <c r="E390" s="87" t="s">
        <v>1370</v>
      </c>
      <c r="F390" s="73"/>
      <c r="G390" s="73"/>
      <c r="H390" s="72" t="s">
        <v>218</v>
      </c>
      <c r="I390" s="72" t="s">
        <v>1367</v>
      </c>
      <c r="J390" s="72"/>
      <c r="K390" s="72"/>
    </row>
    <row r="391" spans="1:11" ht="19.5" customHeight="1">
      <c r="A391" s="72" t="s">
        <v>1371</v>
      </c>
      <c r="B391" s="71">
        <v>18.2</v>
      </c>
      <c r="C391" s="72" t="s">
        <v>1372</v>
      </c>
      <c r="D391" s="71" t="s">
        <v>252</v>
      </c>
      <c r="E391" s="87" t="s">
        <v>1373</v>
      </c>
      <c r="F391" s="73"/>
      <c r="G391" s="73"/>
      <c r="H391" s="72" t="s">
        <v>1104</v>
      </c>
      <c r="I391" s="72" t="s">
        <v>1367</v>
      </c>
      <c r="J391" s="72"/>
      <c r="K391" s="72"/>
    </row>
    <row r="392" spans="1:11" ht="19.5" customHeight="1">
      <c r="A392" s="72" t="s">
        <v>1374</v>
      </c>
      <c r="B392" s="71">
        <v>18.3</v>
      </c>
      <c r="C392" s="72" t="s">
        <v>1375</v>
      </c>
      <c r="D392" s="71" t="s">
        <v>252</v>
      </c>
      <c r="E392" s="87" t="s">
        <v>1376</v>
      </c>
      <c r="F392" s="73"/>
      <c r="G392" s="73"/>
      <c r="H392" s="72" t="s">
        <v>1377</v>
      </c>
      <c r="I392" s="72" t="s">
        <v>1341</v>
      </c>
      <c r="J392" s="72"/>
      <c r="K392" s="72"/>
    </row>
    <row r="393" spans="1:11" ht="19.5" customHeight="1">
      <c r="A393" s="72" t="s">
        <v>1378</v>
      </c>
      <c r="B393" s="71">
        <v>18.399999999999999</v>
      </c>
      <c r="C393" s="72" t="s">
        <v>1379</v>
      </c>
      <c r="D393" s="71" t="s">
        <v>221</v>
      </c>
      <c r="E393" s="87" t="s">
        <v>1380</v>
      </c>
      <c r="F393" s="73"/>
      <c r="G393" s="73"/>
      <c r="H393" s="72" t="s">
        <v>1381</v>
      </c>
      <c r="I393" s="72" t="s">
        <v>1344</v>
      </c>
      <c r="J393" s="72"/>
      <c r="K393" s="72"/>
    </row>
    <row r="394" spans="1:11" ht="19.5" customHeight="1">
      <c r="A394" s="72" t="s">
        <v>1382</v>
      </c>
      <c r="B394" s="71">
        <v>18.5</v>
      </c>
      <c r="C394" s="72" t="s">
        <v>1383</v>
      </c>
      <c r="D394" s="71" t="s">
        <v>221</v>
      </c>
      <c r="E394" s="87" t="s">
        <v>1384</v>
      </c>
      <c r="F394" s="73"/>
      <c r="G394" s="73"/>
      <c r="H394" s="72" t="s">
        <v>273</v>
      </c>
      <c r="I394" s="72" t="s">
        <v>1341</v>
      </c>
      <c r="J394" s="72"/>
      <c r="K394" s="72"/>
    </row>
    <row r="395" spans="1:11" ht="19.5" customHeight="1">
      <c r="A395" s="79" t="s">
        <v>1385</v>
      </c>
      <c r="B395" s="80">
        <v>18</v>
      </c>
      <c r="C395" s="79" t="s">
        <v>1386</v>
      </c>
      <c r="D395" s="80" t="s">
        <v>235</v>
      </c>
      <c r="E395" s="87" t="s">
        <v>236</v>
      </c>
      <c r="F395" s="73"/>
      <c r="G395" s="73"/>
      <c r="H395" s="81" t="s">
        <v>184</v>
      </c>
      <c r="I395" s="81" t="s">
        <v>1353</v>
      </c>
      <c r="J395" s="81" t="s">
        <v>238</v>
      </c>
      <c r="K395" s="72"/>
    </row>
    <row r="396" spans="1:11" ht="19.5" customHeight="1">
      <c r="A396" s="65" t="s">
        <v>1387</v>
      </c>
      <c r="B396" s="66">
        <v>19</v>
      </c>
      <c r="C396" s="65" t="s">
        <v>1388</v>
      </c>
      <c r="D396" s="66" t="s">
        <v>176</v>
      </c>
      <c r="E396" s="94" t="s">
        <v>1389</v>
      </c>
      <c r="F396" s="96">
        <f>[1]CONFIGURACIÓN!$B$4+232</f>
        <v>46406</v>
      </c>
      <c r="G396" s="73">
        <f>[1]CONFIGURACIÓN!$B$4+288</f>
        <v>46462</v>
      </c>
      <c r="H396" s="65" t="s">
        <v>1390</v>
      </c>
      <c r="I396" s="65" t="s">
        <v>1391</v>
      </c>
      <c r="J396" s="72"/>
      <c r="K396" s="72"/>
    </row>
    <row r="397" spans="1:11" ht="25.5" customHeight="1">
      <c r="A397" s="72" t="s">
        <v>1392</v>
      </c>
      <c r="B397" s="71">
        <v>19.100000000000001</v>
      </c>
      <c r="C397" s="72" t="s">
        <v>1393</v>
      </c>
      <c r="D397" s="71" t="s">
        <v>226</v>
      </c>
      <c r="E397" s="87" t="s">
        <v>1394</v>
      </c>
      <c r="F397" s="73"/>
      <c r="G397" s="73"/>
      <c r="H397" s="72" t="s">
        <v>1148</v>
      </c>
      <c r="I397" s="72" t="s">
        <v>1391</v>
      </c>
      <c r="J397" s="72"/>
      <c r="K397" s="72"/>
    </row>
    <row r="398" spans="1:11" ht="19.5" customHeight="1">
      <c r="A398" s="72" t="s">
        <v>1395</v>
      </c>
      <c r="B398" s="71">
        <v>19.2</v>
      </c>
      <c r="C398" s="72" t="s">
        <v>1396</v>
      </c>
      <c r="D398" s="71" t="s">
        <v>226</v>
      </c>
      <c r="E398" s="87" t="s">
        <v>1397</v>
      </c>
      <c r="F398" s="73"/>
      <c r="G398" s="73"/>
      <c r="H398" s="72" t="s">
        <v>1398</v>
      </c>
      <c r="I398" s="72" t="s">
        <v>1391</v>
      </c>
      <c r="J398" s="72"/>
      <c r="K398" s="72"/>
    </row>
    <row r="399" spans="1:11" ht="19.5" customHeight="1">
      <c r="A399" s="72" t="s">
        <v>1399</v>
      </c>
      <c r="B399" s="71">
        <v>19.3</v>
      </c>
      <c r="C399" s="72" t="s">
        <v>1400</v>
      </c>
      <c r="D399" s="71" t="s">
        <v>255</v>
      </c>
      <c r="E399" s="87" t="s">
        <v>1401</v>
      </c>
      <c r="F399" s="73"/>
      <c r="G399" s="73"/>
      <c r="H399" s="72" t="s">
        <v>1402</v>
      </c>
      <c r="I399" s="72" t="s">
        <v>1391</v>
      </c>
      <c r="J399" s="72"/>
      <c r="K399" s="72"/>
    </row>
    <row r="400" spans="1:11" ht="19.5" customHeight="1">
      <c r="A400" s="72" t="s">
        <v>1403</v>
      </c>
      <c r="B400" s="71">
        <v>19.399999999999999</v>
      </c>
      <c r="C400" s="72" t="s">
        <v>1404</v>
      </c>
      <c r="D400" s="71" t="s">
        <v>255</v>
      </c>
      <c r="E400" s="87" t="s">
        <v>1405</v>
      </c>
      <c r="F400" s="73"/>
      <c r="G400" s="73"/>
      <c r="H400" s="72" t="s">
        <v>1117</v>
      </c>
      <c r="I400" s="72" t="s">
        <v>1391</v>
      </c>
      <c r="J400" s="72"/>
      <c r="K400" s="72"/>
    </row>
    <row r="401" spans="1:26" ht="19.5" customHeight="1">
      <c r="A401" s="72" t="s">
        <v>1406</v>
      </c>
      <c r="B401" s="71">
        <v>19.5</v>
      </c>
      <c r="C401" s="72" t="s">
        <v>1407</v>
      </c>
      <c r="D401" s="71" t="s">
        <v>255</v>
      </c>
      <c r="E401" s="87" t="s">
        <v>1408</v>
      </c>
      <c r="F401" s="73"/>
      <c r="G401" s="73"/>
      <c r="H401" s="72" t="s">
        <v>338</v>
      </c>
      <c r="I401" s="72" t="s">
        <v>1391</v>
      </c>
      <c r="J401" s="72"/>
      <c r="K401" s="72"/>
    </row>
    <row r="402" spans="1:26" ht="19.5" customHeight="1">
      <c r="A402" s="72" t="s">
        <v>1409</v>
      </c>
      <c r="B402" s="71">
        <v>19.600000000000001</v>
      </c>
      <c r="C402" s="72" t="s">
        <v>1410</v>
      </c>
      <c r="D402" s="71" t="s">
        <v>226</v>
      </c>
      <c r="E402" s="87" t="s">
        <v>1411</v>
      </c>
      <c r="F402" s="73"/>
      <c r="G402" s="73"/>
      <c r="H402" s="72" t="s">
        <v>261</v>
      </c>
      <c r="I402" s="72" t="s">
        <v>1382</v>
      </c>
      <c r="J402" s="72"/>
      <c r="K402" s="72"/>
    </row>
    <row r="403" spans="1:26" ht="19.5" customHeight="1">
      <c r="A403" s="79" t="s">
        <v>1412</v>
      </c>
      <c r="B403" s="80">
        <v>19</v>
      </c>
      <c r="C403" s="79" t="s">
        <v>1413</v>
      </c>
      <c r="D403" s="80" t="s">
        <v>235</v>
      </c>
      <c r="E403" s="87" t="s">
        <v>236</v>
      </c>
      <c r="F403" s="73"/>
      <c r="G403" s="73"/>
      <c r="H403" s="81" t="s">
        <v>261</v>
      </c>
      <c r="I403" s="81" t="s">
        <v>1414</v>
      </c>
      <c r="J403" s="81" t="s">
        <v>238</v>
      </c>
      <c r="K403" s="72"/>
    </row>
    <row r="404" spans="1:26" ht="13.5" customHeight="1">
      <c r="A404" s="65"/>
      <c r="B404" s="66"/>
      <c r="C404" s="65" t="s">
        <v>1415</v>
      </c>
      <c r="D404" s="66"/>
      <c r="E404" s="65"/>
      <c r="F404" s="101"/>
      <c r="G404" s="101"/>
      <c r="H404" s="65"/>
      <c r="I404" s="65"/>
      <c r="J404" s="65"/>
      <c r="K404" s="65"/>
    </row>
    <row r="405" spans="1:26" ht="27.75" customHeight="1">
      <c r="A405" s="102" t="s">
        <v>1416</v>
      </c>
      <c r="B405" s="103" t="s">
        <v>1417</v>
      </c>
      <c r="C405" s="102" t="s">
        <v>1418</v>
      </c>
      <c r="D405" s="103" t="s">
        <v>1327</v>
      </c>
      <c r="E405" s="102" t="s">
        <v>1419</v>
      </c>
      <c r="F405" s="104">
        <f>[1]CONFIGURACIÓN!$B$4+232</f>
        <v>46406</v>
      </c>
      <c r="G405" s="104">
        <f>[1]CONFIGURACIÓN!$B$4+288</f>
        <v>46462</v>
      </c>
      <c r="H405" s="102" t="s">
        <v>1232</v>
      </c>
      <c r="I405" s="102" t="s">
        <v>1420</v>
      </c>
      <c r="J405" s="102"/>
      <c r="K405" s="102"/>
    </row>
    <row r="406" spans="1:26" ht="19.5" customHeight="1">
      <c r="A406" s="105" t="s">
        <v>1421</v>
      </c>
      <c r="B406" s="106" t="s">
        <v>1422</v>
      </c>
      <c r="C406" s="107" t="s">
        <v>1423</v>
      </c>
      <c r="D406" s="108" t="s">
        <v>252</v>
      </c>
      <c r="E406" s="107" t="s">
        <v>1424</v>
      </c>
      <c r="F406" s="109"/>
      <c r="G406" s="109"/>
      <c r="H406" s="110" t="s">
        <v>1425</v>
      </c>
      <c r="I406" s="111" t="s">
        <v>1420</v>
      </c>
      <c r="J406" s="112" t="s">
        <v>179</v>
      </c>
      <c r="K406" s="107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spans="1:26" ht="19.5" customHeight="1">
      <c r="A407" s="114" t="s">
        <v>1426</v>
      </c>
      <c r="B407" s="106" t="s">
        <v>1427</v>
      </c>
      <c r="C407" s="115" t="s">
        <v>1428</v>
      </c>
      <c r="D407" s="108" t="s">
        <v>221</v>
      </c>
      <c r="E407" s="115" t="s">
        <v>1429</v>
      </c>
      <c r="F407" s="116"/>
      <c r="G407" s="116"/>
      <c r="H407" s="117" t="s">
        <v>1430</v>
      </c>
      <c r="I407" s="118" t="s">
        <v>1421</v>
      </c>
      <c r="J407" s="112" t="s">
        <v>179</v>
      </c>
      <c r="K407" s="115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spans="1:26" ht="19.5" customHeight="1">
      <c r="A408" s="105" t="s">
        <v>1431</v>
      </c>
      <c r="B408" s="106" t="s">
        <v>1432</v>
      </c>
      <c r="C408" s="107" t="s">
        <v>1433</v>
      </c>
      <c r="D408" s="108" t="s">
        <v>221</v>
      </c>
      <c r="E408" s="107" t="s">
        <v>1434</v>
      </c>
      <c r="F408" s="109"/>
      <c r="G408" s="109"/>
      <c r="H408" s="110" t="s">
        <v>1398</v>
      </c>
      <c r="I408" s="111" t="s">
        <v>1426</v>
      </c>
      <c r="J408" s="112" t="s">
        <v>179</v>
      </c>
      <c r="K408" s="107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spans="1:26" ht="19.5" customHeight="1">
      <c r="A409" s="114" t="s">
        <v>1435</v>
      </c>
      <c r="B409" s="106" t="s">
        <v>1436</v>
      </c>
      <c r="C409" s="115" t="s">
        <v>1437</v>
      </c>
      <c r="D409" s="108" t="s">
        <v>221</v>
      </c>
      <c r="E409" s="115" t="s">
        <v>1438</v>
      </c>
      <c r="F409" s="116"/>
      <c r="G409" s="116"/>
      <c r="H409" s="117" t="s">
        <v>1439</v>
      </c>
      <c r="I409" s="118" t="s">
        <v>1426</v>
      </c>
      <c r="J409" s="112" t="s">
        <v>179</v>
      </c>
      <c r="K409" s="115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spans="1:26" ht="19.5" customHeight="1">
      <c r="A410" s="105" t="s">
        <v>1440</v>
      </c>
      <c r="B410" s="106" t="s">
        <v>1441</v>
      </c>
      <c r="C410" s="107" t="s">
        <v>1442</v>
      </c>
      <c r="D410" s="108" t="s">
        <v>252</v>
      </c>
      <c r="E410" s="107" t="s">
        <v>1443</v>
      </c>
      <c r="F410" s="109"/>
      <c r="G410" s="109"/>
      <c r="H410" s="110" t="s">
        <v>1232</v>
      </c>
      <c r="I410" s="111" t="s">
        <v>1420</v>
      </c>
      <c r="J410" s="112" t="s">
        <v>179</v>
      </c>
      <c r="K410" s="107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spans="1:26" ht="19.5" customHeight="1">
      <c r="A411" s="114" t="s">
        <v>1444</v>
      </c>
      <c r="B411" s="106" t="s">
        <v>1445</v>
      </c>
      <c r="C411" s="115" t="s">
        <v>1446</v>
      </c>
      <c r="D411" s="108" t="s">
        <v>226</v>
      </c>
      <c r="E411" s="115" t="s">
        <v>1447</v>
      </c>
      <c r="F411" s="116"/>
      <c r="G411" s="116"/>
      <c r="H411" s="117" t="s">
        <v>1448</v>
      </c>
      <c r="I411" s="118" t="s">
        <v>1440</v>
      </c>
      <c r="J411" s="112" t="s">
        <v>179</v>
      </c>
      <c r="K411" s="115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spans="1:26" ht="21.75" customHeight="1">
      <c r="A412" s="119" t="s">
        <v>1449</v>
      </c>
      <c r="B412" s="120" t="s">
        <v>1450</v>
      </c>
      <c r="C412" s="119" t="s">
        <v>1451</v>
      </c>
      <c r="D412" s="120" t="s">
        <v>235</v>
      </c>
      <c r="E412" s="119" t="s">
        <v>236</v>
      </c>
      <c r="F412" s="121"/>
      <c r="G412" s="121"/>
      <c r="H412" s="119" t="s">
        <v>261</v>
      </c>
      <c r="I412" s="119" t="s">
        <v>1444</v>
      </c>
      <c r="J412" s="122" t="s">
        <v>238</v>
      </c>
      <c r="K412" s="119" t="s">
        <v>168</v>
      </c>
    </row>
    <row r="413" spans="1:26" ht="19.5" customHeight="1">
      <c r="A413" s="123"/>
      <c r="B413" s="124"/>
      <c r="C413" s="125" t="s">
        <v>1452</v>
      </c>
      <c r="D413" s="124"/>
      <c r="E413" s="123"/>
      <c r="F413" s="126"/>
      <c r="G413" s="126"/>
      <c r="H413" s="123"/>
      <c r="I413" s="123"/>
      <c r="J413" s="123"/>
      <c r="K413" s="123"/>
    </row>
    <row r="414" spans="1:26" ht="19.5" customHeight="1">
      <c r="A414" s="123" t="s">
        <v>1453</v>
      </c>
      <c r="B414" s="124">
        <v>20</v>
      </c>
      <c r="C414" s="125" t="s">
        <v>1454</v>
      </c>
      <c r="D414" s="124" t="s">
        <v>1455</v>
      </c>
      <c r="E414" s="123" t="s">
        <v>1456</v>
      </c>
      <c r="F414" s="126">
        <v>46407</v>
      </c>
      <c r="G414" s="126">
        <v>46501</v>
      </c>
      <c r="H414" s="123" t="s">
        <v>1457</v>
      </c>
      <c r="I414" s="123" t="s">
        <v>1336</v>
      </c>
      <c r="J414" s="123" t="s">
        <v>1458</v>
      </c>
      <c r="K414" s="123"/>
    </row>
    <row r="415" spans="1:26" ht="19.5" customHeight="1">
      <c r="A415" s="123" t="s">
        <v>1459</v>
      </c>
      <c r="B415" s="124" t="s">
        <v>1460</v>
      </c>
      <c r="C415" s="125" t="s">
        <v>1461</v>
      </c>
      <c r="D415" s="124" t="s">
        <v>182</v>
      </c>
      <c r="E415" s="123"/>
      <c r="F415" s="126">
        <v>46407</v>
      </c>
      <c r="G415" s="126">
        <v>46412</v>
      </c>
      <c r="H415" s="123" t="s">
        <v>218</v>
      </c>
      <c r="I415" s="123"/>
      <c r="J415" s="123" t="s">
        <v>1458</v>
      </c>
      <c r="K415" s="123"/>
    </row>
    <row r="416" spans="1:26" ht="19.5" customHeight="1">
      <c r="A416" s="123">
        <v>20.010000000000002</v>
      </c>
      <c r="B416" s="124">
        <v>20.100000000000001</v>
      </c>
      <c r="C416" s="125" t="s">
        <v>1462</v>
      </c>
      <c r="D416" s="124" t="s">
        <v>255</v>
      </c>
      <c r="E416" s="123" t="s">
        <v>1463</v>
      </c>
      <c r="F416" s="126">
        <v>46407</v>
      </c>
      <c r="G416" s="126">
        <v>46407</v>
      </c>
      <c r="H416" s="123" t="s">
        <v>1464</v>
      </c>
      <c r="I416" s="123" t="s">
        <v>1453</v>
      </c>
      <c r="J416" s="123" t="s">
        <v>1458</v>
      </c>
      <c r="K416" s="123"/>
    </row>
    <row r="417" spans="1:11" ht="19.5" customHeight="1">
      <c r="A417" s="123">
        <v>20.02</v>
      </c>
      <c r="B417" s="124">
        <v>20.2</v>
      </c>
      <c r="C417" s="125" t="s">
        <v>1465</v>
      </c>
      <c r="D417" s="124" t="s">
        <v>221</v>
      </c>
      <c r="E417" s="123" t="s">
        <v>1466</v>
      </c>
      <c r="F417" s="126">
        <v>46408</v>
      </c>
      <c r="G417" s="126">
        <v>46410</v>
      </c>
      <c r="H417" s="123" t="s">
        <v>1467</v>
      </c>
      <c r="I417" s="123">
        <v>20.010000000000002</v>
      </c>
      <c r="J417" s="123" t="s">
        <v>1458</v>
      </c>
      <c r="K417" s="123"/>
    </row>
    <row r="418" spans="1:11" ht="19.5" customHeight="1">
      <c r="A418" s="123">
        <v>20.03</v>
      </c>
      <c r="B418" s="124">
        <v>20.3</v>
      </c>
      <c r="C418" s="125" t="s">
        <v>1468</v>
      </c>
      <c r="D418" s="124" t="s">
        <v>255</v>
      </c>
      <c r="E418" s="123" t="s">
        <v>1469</v>
      </c>
      <c r="F418" s="126">
        <v>46411</v>
      </c>
      <c r="G418" s="126">
        <v>46411</v>
      </c>
      <c r="H418" s="123" t="s">
        <v>1470</v>
      </c>
      <c r="I418" s="123">
        <v>20.02</v>
      </c>
      <c r="J418" s="123" t="s">
        <v>1458</v>
      </c>
      <c r="K418" s="123"/>
    </row>
    <row r="419" spans="1:11" ht="19.5" customHeight="1">
      <c r="A419" s="123" t="s">
        <v>1471</v>
      </c>
      <c r="B419" s="124" t="s">
        <v>1472</v>
      </c>
      <c r="C419" s="125" t="s">
        <v>1473</v>
      </c>
      <c r="D419" s="124" t="s">
        <v>235</v>
      </c>
      <c r="E419" s="123"/>
      <c r="F419" s="126">
        <v>46411</v>
      </c>
      <c r="G419" s="126">
        <v>46411</v>
      </c>
      <c r="H419" s="123" t="s">
        <v>261</v>
      </c>
      <c r="I419" s="123">
        <v>20.03</v>
      </c>
      <c r="J419" s="123" t="s">
        <v>1474</v>
      </c>
      <c r="K419" s="123"/>
    </row>
    <row r="420" spans="1:11" ht="19.5" customHeight="1">
      <c r="A420" s="123" t="s">
        <v>1475</v>
      </c>
      <c r="B420" s="124" t="s">
        <v>1476</v>
      </c>
      <c r="C420" s="125" t="s">
        <v>1477</v>
      </c>
      <c r="D420" s="124" t="s">
        <v>176</v>
      </c>
      <c r="E420" s="123"/>
      <c r="F420" s="126">
        <v>46407</v>
      </c>
      <c r="G420" s="126">
        <v>46417</v>
      </c>
      <c r="H420" s="123" t="s">
        <v>361</v>
      </c>
      <c r="I420" s="123"/>
      <c r="J420" s="123" t="s">
        <v>1458</v>
      </c>
      <c r="K420" s="123"/>
    </row>
    <row r="421" spans="1:11" ht="19.5" customHeight="1">
      <c r="A421" s="123">
        <v>20.04</v>
      </c>
      <c r="B421" s="124">
        <v>20.399999999999999</v>
      </c>
      <c r="C421" s="125" t="s">
        <v>1478</v>
      </c>
      <c r="D421" s="124" t="s">
        <v>226</v>
      </c>
      <c r="E421" s="123" t="s">
        <v>1479</v>
      </c>
      <c r="F421" s="126">
        <v>46412</v>
      </c>
      <c r="G421" s="126">
        <v>46413</v>
      </c>
      <c r="H421" s="123" t="s">
        <v>1480</v>
      </c>
      <c r="I421" s="123" t="s">
        <v>1471</v>
      </c>
      <c r="J421" s="123" t="s">
        <v>1458</v>
      </c>
      <c r="K421" s="123"/>
    </row>
    <row r="422" spans="1:11" ht="19.5" customHeight="1">
      <c r="A422" s="123">
        <v>20.05</v>
      </c>
      <c r="B422" s="124">
        <v>20.5</v>
      </c>
      <c r="C422" s="125" t="s">
        <v>1481</v>
      </c>
      <c r="D422" s="124" t="s">
        <v>255</v>
      </c>
      <c r="E422" s="123" t="s">
        <v>1482</v>
      </c>
      <c r="F422" s="126">
        <v>46414</v>
      </c>
      <c r="G422" s="126">
        <v>46414</v>
      </c>
      <c r="H422" s="123" t="s">
        <v>1483</v>
      </c>
      <c r="I422" s="123">
        <v>20.04</v>
      </c>
      <c r="J422" s="123" t="s">
        <v>1458</v>
      </c>
      <c r="K422" s="123"/>
    </row>
    <row r="423" spans="1:11" ht="19.5" customHeight="1">
      <c r="A423" s="123">
        <v>20.059999999999999</v>
      </c>
      <c r="B423" s="124">
        <v>20.6</v>
      </c>
      <c r="C423" s="125" t="s">
        <v>1484</v>
      </c>
      <c r="D423" s="124" t="s">
        <v>226</v>
      </c>
      <c r="E423" s="123" t="s">
        <v>1485</v>
      </c>
      <c r="F423" s="126">
        <v>46415</v>
      </c>
      <c r="G423" s="126">
        <v>46416</v>
      </c>
      <c r="H423" s="123" t="s">
        <v>1486</v>
      </c>
      <c r="I423" s="123">
        <v>20.05</v>
      </c>
      <c r="J423" s="123" t="s">
        <v>1458</v>
      </c>
      <c r="K423" s="123"/>
    </row>
    <row r="424" spans="1:11" ht="19.5" customHeight="1">
      <c r="A424" s="123">
        <v>20.07</v>
      </c>
      <c r="B424" s="124">
        <v>20.7</v>
      </c>
      <c r="C424" s="125" t="s">
        <v>1487</v>
      </c>
      <c r="D424" s="124" t="s">
        <v>252</v>
      </c>
      <c r="E424" s="123" t="s">
        <v>1488</v>
      </c>
      <c r="F424" s="126">
        <v>46417</v>
      </c>
      <c r="G424" s="126">
        <v>46420</v>
      </c>
      <c r="H424" s="123" t="s">
        <v>218</v>
      </c>
      <c r="I424" s="123">
        <v>20.059999999999999</v>
      </c>
      <c r="J424" s="123" t="s">
        <v>1458</v>
      </c>
      <c r="K424" s="123"/>
    </row>
    <row r="425" spans="1:11" ht="19.5" customHeight="1">
      <c r="A425" s="123" t="s">
        <v>1489</v>
      </c>
      <c r="B425" s="124" t="s">
        <v>1490</v>
      </c>
      <c r="C425" s="125" t="s">
        <v>1491</v>
      </c>
      <c r="D425" s="124" t="s">
        <v>235</v>
      </c>
      <c r="E425" s="123"/>
      <c r="F425" s="126">
        <v>46420</v>
      </c>
      <c r="G425" s="126">
        <v>46420</v>
      </c>
      <c r="H425" s="123" t="s">
        <v>261</v>
      </c>
      <c r="I425" s="123">
        <v>20.07</v>
      </c>
      <c r="J425" s="123" t="s">
        <v>1474</v>
      </c>
      <c r="K425" s="123"/>
    </row>
    <row r="426" spans="1:11" ht="19.5" customHeight="1">
      <c r="A426" s="123" t="s">
        <v>1492</v>
      </c>
      <c r="B426" s="124" t="s">
        <v>1493</v>
      </c>
      <c r="C426" s="125" t="s">
        <v>1494</v>
      </c>
      <c r="D426" s="124" t="s">
        <v>176</v>
      </c>
      <c r="E426" s="123"/>
      <c r="F426" s="126">
        <v>46407</v>
      </c>
      <c r="G426" s="126">
        <v>46417</v>
      </c>
      <c r="H426" s="123" t="s">
        <v>361</v>
      </c>
      <c r="I426" s="123"/>
      <c r="J426" s="123" t="s">
        <v>1458</v>
      </c>
      <c r="K426" s="123"/>
    </row>
    <row r="427" spans="1:11" ht="19.5" customHeight="1">
      <c r="A427" s="123">
        <v>20.079999999999998</v>
      </c>
      <c r="B427" s="124">
        <v>20.8</v>
      </c>
      <c r="C427" s="125" t="s">
        <v>1495</v>
      </c>
      <c r="D427" s="124" t="s">
        <v>226</v>
      </c>
      <c r="E427" s="123" t="s">
        <v>1496</v>
      </c>
      <c r="F427" s="126">
        <v>46421</v>
      </c>
      <c r="G427" s="126">
        <v>46422</v>
      </c>
      <c r="H427" s="123" t="s">
        <v>1497</v>
      </c>
      <c r="I427" s="123" t="s">
        <v>1489</v>
      </c>
      <c r="J427" s="123" t="s">
        <v>1458</v>
      </c>
      <c r="K427" s="123"/>
    </row>
    <row r="428" spans="1:11" ht="14.4">
      <c r="A428" s="123">
        <v>20.09</v>
      </c>
      <c r="B428" s="124">
        <v>20.9</v>
      </c>
      <c r="C428" s="125" t="s">
        <v>1498</v>
      </c>
      <c r="D428" s="124" t="s">
        <v>221</v>
      </c>
      <c r="E428" s="123" t="s">
        <v>1499</v>
      </c>
      <c r="F428" s="126">
        <v>46423</v>
      </c>
      <c r="G428" s="126">
        <v>46425</v>
      </c>
      <c r="H428" s="123" t="s">
        <v>1500</v>
      </c>
      <c r="I428" s="123">
        <v>20.079999999999998</v>
      </c>
      <c r="J428" s="123" t="s">
        <v>1458</v>
      </c>
      <c r="K428" s="123"/>
    </row>
    <row r="429" spans="1:11" ht="19.5" customHeight="1">
      <c r="A429" s="123">
        <v>20.100000000000001</v>
      </c>
      <c r="B429" s="124">
        <v>20.100000000000001</v>
      </c>
      <c r="C429" s="125" t="s">
        <v>1501</v>
      </c>
      <c r="D429" s="124" t="s">
        <v>255</v>
      </c>
      <c r="E429" s="123" t="s">
        <v>1502</v>
      </c>
      <c r="F429" s="126">
        <v>46426</v>
      </c>
      <c r="G429" s="126">
        <v>46426</v>
      </c>
      <c r="H429" s="123" t="s">
        <v>261</v>
      </c>
      <c r="I429" s="123">
        <v>20.09</v>
      </c>
      <c r="J429" s="123" t="s">
        <v>1458</v>
      </c>
      <c r="K429" s="123"/>
    </row>
    <row r="430" spans="1:11" ht="19.5" customHeight="1">
      <c r="A430" s="123">
        <v>20.11</v>
      </c>
      <c r="B430" s="124">
        <v>20.11</v>
      </c>
      <c r="C430" s="125" t="s">
        <v>1503</v>
      </c>
      <c r="D430" s="124" t="s">
        <v>255</v>
      </c>
      <c r="E430" s="123" t="s">
        <v>1504</v>
      </c>
      <c r="F430" s="126">
        <v>46427</v>
      </c>
      <c r="G430" s="126">
        <v>46427</v>
      </c>
      <c r="H430" s="123" t="s">
        <v>1486</v>
      </c>
      <c r="I430" s="123">
        <v>20.100000000000001</v>
      </c>
      <c r="J430" s="123" t="s">
        <v>1458</v>
      </c>
      <c r="K430" s="123"/>
    </row>
    <row r="431" spans="1:11" ht="19.5" customHeight="1">
      <c r="A431" s="123">
        <v>20.12</v>
      </c>
      <c r="B431" s="124">
        <v>20.12</v>
      </c>
      <c r="C431" s="125" t="s">
        <v>1505</v>
      </c>
      <c r="D431" s="124" t="s">
        <v>252</v>
      </c>
      <c r="E431" s="123" t="s">
        <v>1506</v>
      </c>
      <c r="F431" s="126">
        <v>46428</v>
      </c>
      <c r="G431" s="126">
        <v>46431</v>
      </c>
      <c r="H431" s="123" t="s">
        <v>218</v>
      </c>
      <c r="I431" s="123">
        <v>20.11</v>
      </c>
      <c r="J431" s="123" t="s">
        <v>1458</v>
      </c>
      <c r="K431" s="123"/>
    </row>
    <row r="432" spans="1:11" ht="19.5" customHeight="1">
      <c r="A432" s="123" t="s">
        <v>1507</v>
      </c>
      <c r="B432" s="124" t="s">
        <v>1508</v>
      </c>
      <c r="C432" s="125" t="s">
        <v>1509</v>
      </c>
      <c r="D432" s="124" t="s">
        <v>235</v>
      </c>
      <c r="E432" s="123"/>
      <c r="F432" s="126">
        <v>46431</v>
      </c>
      <c r="G432" s="126">
        <v>46431</v>
      </c>
      <c r="H432" s="123" t="s">
        <v>261</v>
      </c>
      <c r="I432" s="123">
        <v>20.12</v>
      </c>
      <c r="J432" s="123" t="s">
        <v>1474</v>
      </c>
      <c r="K432" s="123"/>
    </row>
    <row r="433" spans="1:11" ht="19.5" customHeight="1">
      <c r="A433" s="123" t="s">
        <v>1510</v>
      </c>
      <c r="B433" s="124" t="s">
        <v>1511</v>
      </c>
      <c r="C433" s="125" t="s">
        <v>1512</v>
      </c>
      <c r="D433" s="124" t="s">
        <v>309</v>
      </c>
      <c r="E433" s="123"/>
      <c r="F433" s="126">
        <v>46407</v>
      </c>
      <c r="G433" s="126">
        <v>46414</v>
      </c>
      <c r="H433" s="123" t="s">
        <v>361</v>
      </c>
      <c r="I433" s="123"/>
      <c r="J433" s="123" t="s">
        <v>1458</v>
      </c>
      <c r="K433" s="123"/>
    </row>
    <row r="434" spans="1:11" ht="19.5" customHeight="1">
      <c r="A434" s="123">
        <v>20.13</v>
      </c>
      <c r="B434" s="124">
        <v>20.13</v>
      </c>
      <c r="C434" s="125" t="s">
        <v>1513</v>
      </c>
      <c r="D434" s="124" t="s">
        <v>255</v>
      </c>
      <c r="E434" s="123" t="s">
        <v>1514</v>
      </c>
      <c r="F434" s="126">
        <v>46432</v>
      </c>
      <c r="G434" s="126">
        <v>46432</v>
      </c>
      <c r="H434" s="123" t="s">
        <v>1515</v>
      </c>
      <c r="I434" s="123" t="s">
        <v>1507</v>
      </c>
      <c r="J434" s="123" t="s">
        <v>1458</v>
      </c>
      <c r="K434" s="123"/>
    </row>
    <row r="435" spans="1:11" ht="19.5" customHeight="1">
      <c r="A435" s="123">
        <v>20.14</v>
      </c>
      <c r="B435" s="124">
        <v>20.14</v>
      </c>
      <c r="C435" s="125" t="s">
        <v>1516</v>
      </c>
      <c r="D435" s="124" t="s">
        <v>226</v>
      </c>
      <c r="E435" s="123" t="s">
        <v>1517</v>
      </c>
      <c r="F435" s="126">
        <v>46433</v>
      </c>
      <c r="G435" s="126">
        <v>46434</v>
      </c>
      <c r="H435" s="123" t="s">
        <v>1483</v>
      </c>
      <c r="I435" s="123">
        <v>20.13</v>
      </c>
      <c r="J435" s="123" t="s">
        <v>1458</v>
      </c>
      <c r="K435" s="123"/>
    </row>
    <row r="436" spans="1:11" ht="19.5" customHeight="1">
      <c r="A436" s="123">
        <v>20.149999999999999</v>
      </c>
      <c r="B436" s="124">
        <v>20.149999999999999</v>
      </c>
      <c r="C436" s="125" t="s">
        <v>1518</v>
      </c>
      <c r="D436" s="124" t="s">
        <v>255</v>
      </c>
      <c r="E436" s="123" t="s">
        <v>1519</v>
      </c>
      <c r="F436" s="126">
        <v>46435</v>
      </c>
      <c r="G436" s="126">
        <v>46435</v>
      </c>
      <c r="H436" s="123" t="s">
        <v>1480</v>
      </c>
      <c r="I436" s="123">
        <v>20.14</v>
      </c>
      <c r="J436" s="123" t="s">
        <v>1458</v>
      </c>
      <c r="K436" s="123"/>
    </row>
    <row r="437" spans="1:11" ht="19.5" customHeight="1">
      <c r="A437" s="123">
        <v>20.16</v>
      </c>
      <c r="B437" s="124">
        <v>20.16</v>
      </c>
      <c r="C437" s="125" t="s">
        <v>1520</v>
      </c>
      <c r="D437" s="124" t="s">
        <v>255</v>
      </c>
      <c r="E437" s="123" t="s">
        <v>1521</v>
      </c>
      <c r="F437" s="126">
        <v>46436</v>
      </c>
      <c r="G437" s="126">
        <v>46436</v>
      </c>
      <c r="H437" s="123" t="s">
        <v>1486</v>
      </c>
      <c r="I437" s="123">
        <v>20.149999999999999</v>
      </c>
      <c r="J437" s="123" t="s">
        <v>1458</v>
      </c>
      <c r="K437" s="123"/>
    </row>
    <row r="438" spans="1:11" ht="19.5" customHeight="1">
      <c r="A438" s="123">
        <v>20.170000000000002</v>
      </c>
      <c r="B438" s="124">
        <v>20.170000000000002</v>
      </c>
      <c r="C438" s="125" t="s">
        <v>1522</v>
      </c>
      <c r="D438" s="124" t="s">
        <v>252</v>
      </c>
      <c r="E438" s="123" t="s">
        <v>1523</v>
      </c>
      <c r="F438" s="126">
        <v>46437</v>
      </c>
      <c r="G438" s="126">
        <v>46440</v>
      </c>
      <c r="H438" s="123" t="s">
        <v>218</v>
      </c>
      <c r="I438" s="123">
        <v>20.16</v>
      </c>
      <c r="J438" s="123" t="s">
        <v>1458</v>
      </c>
      <c r="K438" s="123"/>
    </row>
    <row r="439" spans="1:11" ht="19.5" customHeight="1">
      <c r="A439" s="123" t="s">
        <v>1524</v>
      </c>
      <c r="B439" s="124" t="s">
        <v>1525</v>
      </c>
      <c r="C439" s="125" t="s">
        <v>1526</v>
      </c>
      <c r="D439" s="124" t="s">
        <v>235</v>
      </c>
      <c r="E439" s="123"/>
      <c r="F439" s="126">
        <v>46440</v>
      </c>
      <c r="G439" s="126">
        <v>46440</v>
      </c>
      <c r="H439" s="123" t="s">
        <v>261</v>
      </c>
      <c r="I439" s="123">
        <v>20.170000000000002</v>
      </c>
      <c r="J439" s="123" t="s">
        <v>1474</v>
      </c>
      <c r="K439" s="123"/>
    </row>
    <row r="440" spans="1:11" ht="19.5" customHeight="1">
      <c r="A440" s="123" t="s">
        <v>1527</v>
      </c>
      <c r="B440" s="124" t="s">
        <v>1528</v>
      </c>
      <c r="C440" s="125" t="s">
        <v>1529</v>
      </c>
      <c r="D440" s="124" t="s">
        <v>671</v>
      </c>
      <c r="E440" s="123"/>
      <c r="F440" s="126">
        <v>46407</v>
      </c>
      <c r="G440" s="126">
        <v>46416</v>
      </c>
      <c r="H440" s="123" t="s">
        <v>361</v>
      </c>
      <c r="I440" s="123"/>
      <c r="J440" s="123" t="s">
        <v>1458</v>
      </c>
      <c r="K440" s="123"/>
    </row>
    <row r="441" spans="1:11" ht="19.5" customHeight="1">
      <c r="A441" s="123">
        <v>20.18</v>
      </c>
      <c r="B441" s="124">
        <v>20.18</v>
      </c>
      <c r="C441" s="125" t="s">
        <v>1530</v>
      </c>
      <c r="D441" s="124" t="s">
        <v>255</v>
      </c>
      <c r="E441" s="123" t="s">
        <v>1531</v>
      </c>
      <c r="F441" s="126">
        <v>46441</v>
      </c>
      <c r="G441" s="126">
        <v>46441</v>
      </c>
      <c r="H441" s="123" t="s">
        <v>1532</v>
      </c>
      <c r="I441" s="123" t="s">
        <v>1524</v>
      </c>
      <c r="J441" s="123" t="s">
        <v>1458</v>
      </c>
      <c r="K441" s="123"/>
    </row>
    <row r="442" spans="1:11" ht="19.5" customHeight="1">
      <c r="A442" s="123">
        <v>20.190000000000001</v>
      </c>
      <c r="B442" s="124">
        <v>20.190000000000001</v>
      </c>
      <c r="C442" s="125" t="s">
        <v>1533</v>
      </c>
      <c r="D442" s="124" t="s">
        <v>226</v>
      </c>
      <c r="E442" s="123" t="s">
        <v>1534</v>
      </c>
      <c r="F442" s="126">
        <v>46442</v>
      </c>
      <c r="G442" s="126">
        <v>46443</v>
      </c>
      <c r="H442" s="123" t="s">
        <v>1535</v>
      </c>
      <c r="I442" s="123">
        <v>20.18</v>
      </c>
      <c r="J442" s="123" t="s">
        <v>1458</v>
      </c>
      <c r="K442" s="123"/>
    </row>
    <row r="443" spans="1:11" ht="19.5" customHeight="1">
      <c r="A443" s="123">
        <v>20.2</v>
      </c>
      <c r="B443" s="124">
        <v>20.2</v>
      </c>
      <c r="C443" s="125" t="s">
        <v>1536</v>
      </c>
      <c r="D443" s="124" t="s">
        <v>226</v>
      </c>
      <c r="E443" s="123" t="s">
        <v>1537</v>
      </c>
      <c r="F443" s="126">
        <v>46444</v>
      </c>
      <c r="G443" s="126">
        <v>46445</v>
      </c>
      <c r="H443" s="123" t="s">
        <v>1480</v>
      </c>
      <c r="I443" s="123">
        <v>20.190000000000001</v>
      </c>
      <c r="J443" s="123" t="s">
        <v>1458</v>
      </c>
      <c r="K443" s="123"/>
    </row>
    <row r="444" spans="1:11" ht="19.5" customHeight="1">
      <c r="A444" s="123">
        <v>20.21</v>
      </c>
      <c r="B444" s="124">
        <v>20.21</v>
      </c>
      <c r="C444" s="125" t="s">
        <v>1538</v>
      </c>
      <c r="D444" s="124" t="s">
        <v>255</v>
      </c>
      <c r="E444" s="123" t="s">
        <v>1539</v>
      </c>
      <c r="F444" s="126">
        <v>46446</v>
      </c>
      <c r="G444" s="126">
        <v>46446</v>
      </c>
      <c r="H444" s="123" t="s">
        <v>1483</v>
      </c>
      <c r="I444" s="123">
        <v>20.2</v>
      </c>
      <c r="J444" s="123" t="s">
        <v>1458</v>
      </c>
      <c r="K444" s="123"/>
    </row>
    <row r="445" spans="1:11" ht="19.5" customHeight="1">
      <c r="A445" s="123">
        <v>20.22</v>
      </c>
      <c r="B445" s="124">
        <v>20.22</v>
      </c>
      <c r="C445" s="125" t="s">
        <v>1540</v>
      </c>
      <c r="D445" s="124" t="s">
        <v>255</v>
      </c>
      <c r="E445" s="123" t="s">
        <v>1541</v>
      </c>
      <c r="F445" s="126">
        <v>46447</v>
      </c>
      <c r="G445" s="126">
        <v>46447</v>
      </c>
      <c r="H445" s="123" t="s">
        <v>1497</v>
      </c>
      <c r="I445" s="123">
        <v>20.21</v>
      </c>
      <c r="J445" s="123" t="s">
        <v>1458</v>
      </c>
      <c r="K445" s="123"/>
    </row>
    <row r="446" spans="1:11" ht="19.5" customHeight="1">
      <c r="A446" s="123">
        <v>20.23</v>
      </c>
      <c r="B446" s="124">
        <v>20.23</v>
      </c>
      <c r="C446" s="125" t="s">
        <v>1542</v>
      </c>
      <c r="D446" s="124" t="s">
        <v>255</v>
      </c>
      <c r="E446" s="123" t="s">
        <v>1543</v>
      </c>
      <c r="F446" s="126">
        <v>46448</v>
      </c>
      <c r="G446" s="126">
        <v>46448</v>
      </c>
      <c r="H446" s="123" t="s">
        <v>261</v>
      </c>
      <c r="I446" s="123">
        <v>20.22</v>
      </c>
      <c r="J446" s="123" t="s">
        <v>1458</v>
      </c>
      <c r="K446" s="123"/>
    </row>
    <row r="447" spans="1:11" ht="19.5" customHeight="1">
      <c r="A447" s="123">
        <v>20.239999999999998</v>
      </c>
      <c r="B447" s="124">
        <v>20.239999999999998</v>
      </c>
      <c r="C447" s="125" t="s">
        <v>1544</v>
      </c>
      <c r="D447" s="124" t="s">
        <v>255</v>
      </c>
      <c r="E447" s="123" t="s">
        <v>1545</v>
      </c>
      <c r="F447" s="126">
        <v>46449</v>
      </c>
      <c r="G447" s="126">
        <v>46449</v>
      </c>
      <c r="H447" s="123" t="s">
        <v>1486</v>
      </c>
      <c r="I447" s="123">
        <v>20.23</v>
      </c>
      <c r="J447" s="123" t="s">
        <v>1458</v>
      </c>
      <c r="K447" s="123"/>
    </row>
    <row r="448" spans="1:11" ht="19.5" customHeight="1">
      <c r="A448" s="123">
        <v>20.25</v>
      </c>
      <c r="B448" s="124">
        <v>20.25</v>
      </c>
      <c r="C448" s="125" t="s">
        <v>1546</v>
      </c>
      <c r="D448" s="124" t="s">
        <v>221</v>
      </c>
      <c r="E448" s="123" t="s">
        <v>1547</v>
      </c>
      <c r="F448" s="126">
        <v>46450</v>
      </c>
      <c r="G448" s="126">
        <v>46452</v>
      </c>
      <c r="H448" s="123" t="s">
        <v>218</v>
      </c>
      <c r="I448" s="123">
        <v>20.239999999999998</v>
      </c>
      <c r="J448" s="123" t="s">
        <v>1458</v>
      </c>
      <c r="K448" s="123"/>
    </row>
    <row r="449" spans="1:11" ht="19.5" customHeight="1">
      <c r="A449" s="123" t="s">
        <v>1548</v>
      </c>
      <c r="B449" s="124" t="s">
        <v>1549</v>
      </c>
      <c r="C449" s="125" t="s">
        <v>1550</v>
      </c>
      <c r="D449" s="124" t="s">
        <v>235</v>
      </c>
      <c r="E449" s="123"/>
      <c r="F449" s="126">
        <v>46452</v>
      </c>
      <c r="G449" s="126">
        <v>46452</v>
      </c>
      <c r="H449" s="123" t="s">
        <v>261</v>
      </c>
      <c r="I449" s="123">
        <v>20.25</v>
      </c>
      <c r="J449" s="123" t="s">
        <v>1474</v>
      </c>
      <c r="K449" s="123"/>
    </row>
    <row r="450" spans="1:11" ht="19.5" customHeight="1">
      <c r="A450" s="123" t="s">
        <v>1551</v>
      </c>
      <c r="B450" s="124" t="s">
        <v>1552</v>
      </c>
      <c r="C450" s="125" t="s">
        <v>1553</v>
      </c>
      <c r="D450" s="124" t="s">
        <v>671</v>
      </c>
      <c r="E450" s="123"/>
      <c r="F450" s="126">
        <v>46407</v>
      </c>
      <c r="G450" s="126">
        <v>46416</v>
      </c>
      <c r="H450" s="123" t="s">
        <v>361</v>
      </c>
      <c r="I450" s="123"/>
      <c r="J450" s="123" t="s">
        <v>1458</v>
      </c>
      <c r="K450" s="123"/>
    </row>
    <row r="451" spans="1:11" ht="19.5" customHeight="1">
      <c r="A451" s="123">
        <v>20.260000000000002</v>
      </c>
      <c r="B451" s="124">
        <v>20.260000000000002</v>
      </c>
      <c r="C451" s="125" t="s">
        <v>1554</v>
      </c>
      <c r="D451" s="124" t="s">
        <v>226</v>
      </c>
      <c r="E451" s="123" t="s">
        <v>1555</v>
      </c>
      <c r="F451" s="126">
        <v>46453</v>
      </c>
      <c r="G451" s="126">
        <v>46454</v>
      </c>
      <c r="H451" s="123" t="s">
        <v>1556</v>
      </c>
      <c r="I451" s="123" t="s">
        <v>1548</v>
      </c>
      <c r="J451" s="123" t="s">
        <v>1458</v>
      </c>
      <c r="K451" s="123"/>
    </row>
    <row r="452" spans="1:11" ht="19.5" customHeight="1">
      <c r="A452" s="123">
        <v>20.27</v>
      </c>
      <c r="B452" s="124">
        <v>20.27</v>
      </c>
      <c r="C452" s="125" t="s">
        <v>1557</v>
      </c>
      <c r="D452" s="124" t="s">
        <v>226</v>
      </c>
      <c r="E452" s="123" t="s">
        <v>1558</v>
      </c>
      <c r="F452" s="126">
        <v>46455</v>
      </c>
      <c r="G452" s="126">
        <v>46457</v>
      </c>
      <c r="H452" s="123" t="s">
        <v>1497</v>
      </c>
      <c r="I452" s="123">
        <v>20.260000000000002</v>
      </c>
      <c r="J452" s="123" t="s">
        <v>1458</v>
      </c>
      <c r="K452" s="123"/>
    </row>
    <row r="453" spans="1:11" ht="19.5" customHeight="1">
      <c r="A453" s="123">
        <v>20.28</v>
      </c>
      <c r="B453" s="124">
        <v>20.28</v>
      </c>
      <c r="C453" s="125" t="s">
        <v>1559</v>
      </c>
      <c r="D453" s="124" t="s">
        <v>226</v>
      </c>
      <c r="E453" s="123" t="s">
        <v>1560</v>
      </c>
      <c r="F453" s="126">
        <v>46458</v>
      </c>
      <c r="G453" s="126">
        <v>46459</v>
      </c>
      <c r="H453" s="123" t="s">
        <v>1480</v>
      </c>
      <c r="I453" s="123">
        <v>20.27</v>
      </c>
      <c r="J453" s="123" t="s">
        <v>1458</v>
      </c>
      <c r="K453" s="123"/>
    </row>
    <row r="454" spans="1:11" ht="19.5" customHeight="1">
      <c r="A454" s="123">
        <v>20.29</v>
      </c>
      <c r="B454" s="124">
        <v>20.29</v>
      </c>
      <c r="C454" s="125" t="s">
        <v>1561</v>
      </c>
      <c r="D454" s="124" t="s">
        <v>226</v>
      </c>
      <c r="E454" s="123" t="s">
        <v>1562</v>
      </c>
      <c r="F454" s="126">
        <v>46460</v>
      </c>
      <c r="G454" s="126">
        <v>46461</v>
      </c>
      <c r="H454" s="123" t="s">
        <v>1563</v>
      </c>
      <c r="I454" s="123">
        <v>20.28</v>
      </c>
      <c r="J454" s="123" t="s">
        <v>1458</v>
      </c>
      <c r="K454" s="123"/>
    </row>
    <row r="455" spans="1:11" ht="19.5" customHeight="1">
      <c r="A455" s="123">
        <v>20.3</v>
      </c>
      <c r="B455" s="124">
        <v>20.3</v>
      </c>
      <c r="C455" s="125" t="s">
        <v>1564</v>
      </c>
      <c r="D455" s="124" t="s">
        <v>255</v>
      </c>
      <c r="E455" s="123" t="s">
        <v>1565</v>
      </c>
      <c r="F455" s="126">
        <v>46462</v>
      </c>
      <c r="G455" s="126">
        <v>46462</v>
      </c>
      <c r="H455" s="123" t="s">
        <v>261</v>
      </c>
      <c r="I455" s="123">
        <v>20.29</v>
      </c>
      <c r="J455" s="123" t="s">
        <v>1458</v>
      </c>
      <c r="K455" s="123"/>
    </row>
    <row r="456" spans="1:11" ht="19.5" customHeight="1">
      <c r="A456" s="123">
        <v>20.309999999999999</v>
      </c>
      <c r="B456" s="124">
        <v>20.309999999999999</v>
      </c>
      <c r="C456" s="125" t="s">
        <v>1566</v>
      </c>
      <c r="D456" s="124" t="s">
        <v>255</v>
      </c>
      <c r="E456" s="123" t="s">
        <v>1567</v>
      </c>
      <c r="F456" s="126">
        <v>46463</v>
      </c>
      <c r="G456" s="126">
        <v>46463</v>
      </c>
      <c r="H456" s="123" t="s">
        <v>1486</v>
      </c>
      <c r="I456" s="123">
        <v>20.3</v>
      </c>
      <c r="J456" s="123" t="s">
        <v>1458</v>
      </c>
      <c r="K456" s="123"/>
    </row>
    <row r="457" spans="1:11" ht="19.5" customHeight="1">
      <c r="A457" s="123">
        <v>20.32</v>
      </c>
      <c r="B457" s="124">
        <v>20.32</v>
      </c>
      <c r="C457" s="125" t="s">
        <v>1568</v>
      </c>
      <c r="D457" s="124" t="s">
        <v>252</v>
      </c>
      <c r="E457" s="123" t="s">
        <v>1569</v>
      </c>
      <c r="F457" s="126">
        <v>46464</v>
      </c>
      <c r="G457" s="126">
        <v>46467</v>
      </c>
      <c r="H457" s="123" t="s">
        <v>218</v>
      </c>
      <c r="I457" s="123">
        <v>20.309999999999999</v>
      </c>
      <c r="J457" s="123" t="s">
        <v>1458</v>
      </c>
      <c r="K457" s="123"/>
    </row>
    <row r="458" spans="1:11" ht="19.5" customHeight="1">
      <c r="A458" s="123" t="s">
        <v>1570</v>
      </c>
      <c r="B458" s="124" t="s">
        <v>1571</v>
      </c>
      <c r="C458" s="125" t="s">
        <v>1572</v>
      </c>
      <c r="D458" s="124" t="s">
        <v>235</v>
      </c>
      <c r="E458" s="123"/>
      <c r="F458" s="126">
        <v>46467</v>
      </c>
      <c r="G458" s="126">
        <v>46467</v>
      </c>
      <c r="H458" s="123" t="s">
        <v>261</v>
      </c>
      <c r="I458" s="123">
        <v>20.32</v>
      </c>
      <c r="J458" s="123" t="s">
        <v>1474</v>
      </c>
      <c r="K458" s="123"/>
    </row>
    <row r="459" spans="1:11" ht="19.5" customHeight="1">
      <c r="A459" s="123" t="s">
        <v>1573</v>
      </c>
      <c r="B459" s="124" t="s">
        <v>1574</v>
      </c>
      <c r="C459" s="125" t="s">
        <v>1575</v>
      </c>
      <c r="D459" s="124" t="s">
        <v>671</v>
      </c>
      <c r="E459" s="123"/>
      <c r="F459" s="126">
        <v>46407</v>
      </c>
      <c r="G459" s="126">
        <v>46416</v>
      </c>
      <c r="H459" s="123" t="s">
        <v>361</v>
      </c>
      <c r="I459" s="123"/>
      <c r="J459" s="123" t="s">
        <v>1458</v>
      </c>
      <c r="K459" s="123"/>
    </row>
    <row r="460" spans="1:11" ht="19.5" customHeight="1">
      <c r="A460" s="123">
        <v>20.329999999999998</v>
      </c>
      <c r="B460" s="124">
        <v>20.329999999999998</v>
      </c>
      <c r="C460" s="125" t="s">
        <v>1576</v>
      </c>
      <c r="D460" s="124" t="s">
        <v>255</v>
      </c>
      <c r="E460" s="123" t="s">
        <v>1577</v>
      </c>
      <c r="F460" s="126">
        <v>46468</v>
      </c>
      <c r="G460" s="126">
        <v>46468</v>
      </c>
      <c r="H460" s="123" t="s">
        <v>1532</v>
      </c>
      <c r="I460" s="123" t="s">
        <v>1570</v>
      </c>
      <c r="J460" s="123" t="s">
        <v>1458</v>
      </c>
      <c r="K460" s="123"/>
    </row>
    <row r="461" spans="1:11" ht="19.5" customHeight="1">
      <c r="A461" s="123">
        <v>20.34</v>
      </c>
      <c r="B461" s="124">
        <v>20.34</v>
      </c>
      <c r="C461" s="125" t="s">
        <v>1578</v>
      </c>
      <c r="D461" s="124" t="s">
        <v>221</v>
      </c>
      <c r="E461" s="123" t="s">
        <v>1579</v>
      </c>
      <c r="F461" s="126">
        <v>46469</v>
      </c>
      <c r="G461" s="126">
        <v>46472</v>
      </c>
      <c r="H461" s="123" t="s">
        <v>1480</v>
      </c>
      <c r="I461" s="123">
        <v>20.329999999999998</v>
      </c>
      <c r="J461" s="123" t="s">
        <v>1458</v>
      </c>
      <c r="K461" s="123"/>
    </row>
    <row r="462" spans="1:11" ht="19.5" customHeight="1">
      <c r="A462" s="123">
        <v>20.350000000000001</v>
      </c>
      <c r="B462" s="124">
        <v>20.350000000000001</v>
      </c>
      <c r="C462" s="125" t="s">
        <v>1580</v>
      </c>
      <c r="D462" s="124" t="s">
        <v>226</v>
      </c>
      <c r="E462" s="123" t="s">
        <v>1581</v>
      </c>
      <c r="F462" s="126">
        <v>46473</v>
      </c>
      <c r="G462" s="126">
        <v>46474</v>
      </c>
      <c r="H462" s="123" t="s">
        <v>1582</v>
      </c>
      <c r="I462" s="123">
        <v>20.34</v>
      </c>
      <c r="J462" s="123" t="s">
        <v>1458</v>
      </c>
      <c r="K462" s="123"/>
    </row>
    <row r="463" spans="1:11" ht="19.5" customHeight="1">
      <c r="A463" s="123">
        <v>20.36</v>
      </c>
      <c r="B463" s="124">
        <v>20.36</v>
      </c>
      <c r="C463" s="125" t="s">
        <v>1583</v>
      </c>
      <c r="D463" s="124" t="s">
        <v>255</v>
      </c>
      <c r="E463" s="123" t="s">
        <v>1584</v>
      </c>
      <c r="F463" s="126">
        <v>46475</v>
      </c>
      <c r="G463" s="126">
        <v>46475</v>
      </c>
      <c r="H463" s="123" t="s">
        <v>261</v>
      </c>
      <c r="I463" s="123">
        <v>20.350000000000001</v>
      </c>
      <c r="J463" s="123" t="s">
        <v>1458</v>
      </c>
      <c r="K463" s="123"/>
    </row>
    <row r="464" spans="1:11" ht="19.5" customHeight="1">
      <c r="A464" s="123">
        <v>20.37</v>
      </c>
      <c r="B464" s="124">
        <v>20.37</v>
      </c>
      <c r="C464" s="125" t="s">
        <v>1585</v>
      </c>
      <c r="D464" s="124" t="s">
        <v>255</v>
      </c>
      <c r="E464" s="123" t="s">
        <v>1586</v>
      </c>
      <c r="F464" s="126">
        <v>46476</v>
      </c>
      <c r="G464" s="126">
        <v>46476</v>
      </c>
      <c r="H464" s="123" t="s">
        <v>1486</v>
      </c>
      <c r="I464" s="123">
        <v>20.36</v>
      </c>
      <c r="J464" s="123" t="s">
        <v>1458</v>
      </c>
      <c r="K464" s="123"/>
    </row>
    <row r="465" spans="1:11" ht="19.5" customHeight="1">
      <c r="A465" s="123">
        <v>20.38</v>
      </c>
      <c r="B465" s="124">
        <v>20.38</v>
      </c>
      <c r="C465" s="125" t="s">
        <v>1587</v>
      </c>
      <c r="D465" s="124" t="s">
        <v>221</v>
      </c>
      <c r="E465" s="123" t="s">
        <v>1588</v>
      </c>
      <c r="F465" s="126">
        <v>46477</v>
      </c>
      <c r="G465" s="126">
        <v>46479</v>
      </c>
      <c r="H465" s="123" t="s">
        <v>218</v>
      </c>
      <c r="I465" s="123">
        <v>20.37</v>
      </c>
      <c r="J465" s="123" t="s">
        <v>1458</v>
      </c>
      <c r="K465" s="123"/>
    </row>
    <row r="466" spans="1:11" ht="19.5" customHeight="1">
      <c r="A466" s="123" t="s">
        <v>1589</v>
      </c>
      <c r="B466" s="124" t="s">
        <v>1590</v>
      </c>
      <c r="C466" s="125" t="s">
        <v>1591</v>
      </c>
      <c r="D466" s="124" t="s">
        <v>235</v>
      </c>
      <c r="E466" s="123"/>
      <c r="F466" s="126">
        <v>46479</v>
      </c>
      <c r="G466" s="126">
        <v>46479</v>
      </c>
      <c r="H466" s="123" t="s">
        <v>261</v>
      </c>
      <c r="I466" s="123">
        <v>20.38</v>
      </c>
      <c r="J466" s="123" t="s">
        <v>1474</v>
      </c>
      <c r="K466" s="123"/>
    </row>
    <row r="467" spans="1:11" ht="19.5" customHeight="1">
      <c r="A467" s="123" t="s">
        <v>1592</v>
      </c>
      <c r="B467" s="124" t="s">
        <v>1593</v>
      </c>
      <c r="C467" s="125" t="s">
        <v>1594</v>
      </c>
      <c r="D467" s="124" t="s">
        <v>1595</v>
      </c>
      <c r="E467" s="123"/>
      <c r="F467" s="126">
        <v>46407</v>
      </c>
      <c r="G467" s="126">
        <v>46420</v>
      </c>
      <c r="H467" s="123" t="s">
        <v>361</v>
      </c>
      <c r="I467" s="123"/>
      <c r="J467" s="123" t="s">
        <v>1458</v>
      </c>
      <c r="K467" s="123"/>
    </row>
    <row r="468" spans="1:11" ht="19.5" customHeight="1">
      <c r="A468" s="123">
        <v>20.39</v>
      </c>
      <c r="B468" s="124">
        <v>20.39</v>
      </c>
      <c r="C468" s="125" t="s">
        <v>1596</v>
      </c>
      <c r="D468" s="124" t="s">
        <v>226</v>
      </c>
      <c r="E468" s="123" t="s">
        <v>1597</v>
      </c>
      <c r="F468" s="126">
        <v>46480</v>
      </c>
      <c r="G468" s="126">
        <v>46481</v>
      </c>
      <c r="H468" s="123" t="s">
        <v>1556</v>
      </c>
      <c r="I468" s="123" t="s">
        <v>1589</v>
      </c>
      <c r="J468" s="123" t="s">
        <v>1458</v>
      </c>
      <c r="K468" s="123"/>
    </row>
    <row r="469" spans="1:11" ht="19.5" customHeight="1">
      <c r="A469" s="123">
        <v>20.399999999999999</v>
      </c>
      <c r="B469" s="124">
        <v>20.399999999999999</v>
      </c>
      <c r="C469" s="125" t="s">
        <v>1598</v>
      </c>
      <c r="D469" s="124" t="s">
        <v>226</v>
      </c>
      <c r="E469" s="123" t="s">
        <v>1599</v>
      </c>
      <c r="F469" s="126">
        <v>46482</v>
      </c>
      <c r="G469" s="126">
        <v>46483</v>
      </c>
      <c r="H469" s="123" t="s">
        <v>1480</v>
      </c>
      <c r="I469" s="123">
        <v>20.39</v>
      </c>
      <c r="J469" s="123" t="s">
        <v>1458</v>
      </c>
      <c r="K469" s="123"/>
    </row>
    <row r="470" spans="1:11" ht="19.5" customHeight="1">
      <c r="A470" s="123">
        <v>20.41</v>
      </c>
      <c r="B470" s="124">
        <v>20.41</v>
      </c>
      <c r="C470" s="125" t="s">
        <v>1600</v>
      </c>
      <c r="D470" s="124" t="s">
        <v>221</v>
      </c>
      <c r="E470" s="123" t="s">
        <v>1601</v>
      </c>
      <c r="F470" s="126">
        <v>46484</v>
      </c>
      <c r="G470" s="126">
        <v>46486</v>
      </c>
      <c r="H470" s="123" t="s">
        <v>1602</v>
      </c>
      <c r="I470" s="123">
        <v>20.399999999999999</v>
      </c>
      <c r="J470" s="123" t="s">
        <v>1458</v>
      </c>
      <c r="K470" s="123"/>
    </row>
    <row r="471" spans="1:11" ht="19.5" customHeight="1">
      <c r="A471" s="123">
        <v>20.420000000000002</v>
      </c>
      <c r="B471" s="124">
        <v>20.420000000000002</v>
      </c>
      <c r="C471" s="125" t="s">
        <v>1603</v>
      </c>
      <c r="D471" s="124" t="s">
        <v>255</v>
      </c>
      <c r="E471" s="123" t="s">
        <v>1604</v>
      </c>
      <c r="F471" s="126">
        <v>46487</v>
      </c>
      <c r="G471" s="126">
        <v>46487</v>
      </c>
      <c r="H471" s="123" t="s">
        <v>261</v>
      </c>
      <c r="I471" s="123">
        <v>20.41</v>
      </c>
      <c r="J471" s="123" t="s">
        <v>1458</v>
      </c>
      <c r="K471" s="123"/>
    </row>
    <row r="472" spans="1:11" ht="19.5" customHeight="1">
      <c r="A472" s="123">
        <v>20.43</v>
      </c>
      <c r="B472" s="124">
        <v>20.43</v>
      </c>
      <c r="C472" s="125" t="s">
        <v>1605</v>
      </c>
      <c r="D472" s="124" t="s">
        <v>255</v>
      </c>
      <c r="E472" s="123" t="s">
        <v>1606</v>
      </c>
      <c r="F472" s="126">
        <v>46488</v>
      </c>
      <c r="G472" s="126">
        <v>46488</v>
      </c>
      <c r="H472" s="123" t="s">
        <v>1486</v>
      </c>
      <c r="I472" s="123">
        <v>20.420000000000002</v>
      </c>
      <c r="J472" s="123" t="s">
        <v>1458</v>
      </c>
      <c r="K472" s="123"/>
    </row>
    <row r="473" spans="1:11" ht="19.5" customHeight="1">
      <c r="A473" s="123">
        <v>20.440000000000001</v>
      </c>
      <c r="B473" s="124">
        <v>20.440000000000001</v>
      </c>
      <c r="C473" s="125" t="s">
        <v>1607</v>
      </c>
      <c r="D473" s="124" t="s">
        <v>252</v>
      </c>
      <c r="E473" s="123" t="s">
        <v>1608</v>
      </c>
      <c r="F473" s="126">
        <v>46489</v>
      </c>
      <c r="G473" s="126">
        <v>46493</v>
      </c>
      <c r="H473" s="123" t="s">
        <v>218</v>
      </c>
      <c r="I473" s="123">
        <v>20.43</v>
      </c>
      <c r="J473" s="123" t="s">
        <v>1458</v>
      </c>
      <c r="K473" s="123"/>
    </row>
    <row r="474" spans="1:11" ht="19.5" customHeight="1">
      <c r="A474" s="123" t="s">
        <v>1609</v>
      </c>
      <c r="B474" s="124" t="s">
        <v>1610</v>
      </c>
      <c r="C474" s="125" t="s">
        <v>1611</v>
      </c>
      <c r="D474" s="124" t="s">
        <v>235</v>
      </c>
      <c r="E474" s="123" t="s">
        <v>1612</v>
      </c>
      <c r="F474" s="126">
        <v>46493</v>
      </c>
      <c r="G474" s="126">
        <v>46493</v>
      </c>
      <c r="H474" s="123" t="s">
        <v>261</v>
      </c>
      <c r="I474" s="123">
        <v>20.440000000000001</v>
      </c>
      <c r="J474" s="123" t="s">
        <v>1474</v>
      </c>
      <c r="K474" s="123"/>
    </row>
    <row r="475" spans="1:11" ht="19.5" customHeight="1">
      <c r="A475" s="123" t="s">
        <v>1613</v>
      </c>
      <c r="B475" s="124" t="s">
        <v>1614</v>
      </c>
      <c r="C475" s="125" t="s">
        <v>1615</v>
      </c>
      <c r="D475" s="124" t="s">
        <v>176</v>
      </c>
      <c r="E475" s="123"/>
      <c r="F475" s="126">
        <v>46407</v>
      </c>
      <c r="G475" s="126">
        <v>46417</v>
      </c>
      <c r="H475" s="123" t="s">
        <v>1616</v>
      </c>
      <c r="I475" s="123"/>
      <c r="J475" s="123" t="s">
        <v>1458</v>
      </c>
      <c r="K475" s="123"/>
    </row>
    <row r="476" spans="1:11" ht="19.5" customHeight="1">
      <c r="A476" s="123">
        <v>20.45</v>
      </c>
      <c r="B476" s="124">
        <v>20.45</v>
      </c>
      <c r="C476" s="125" t="s">
        <v>1617</v>
      </c>
      <c r="D476" s="124" t="s">
        <v>226</v>
      </c>
      <c r="E476" s="123" t="s">
        <v>1618</v>
      </c>
      <c r="F476" s="126">
        <v>46494</v>
      </c>
      <c r="G476" s="126">
        <v>46495</v>
      </c>
      <c r="H476" s="123" t="s">
        <v>1619</v>
      </c>
      <c r="I476" s="123" t="s">
        <v>1609</v>
      </c>
      <c r="J476" s="123" t="s">
        <v>1458</v>
      </c>
      <c r="K476" s="123"/>
    </row>
    <row r="477" spans="1:11" ht="19.5" customHeight="1">
      <c r="A477" s="123">
        <v>20.46</v>
      </c>
      <c r="B477" s="124">
        <v>20.46</v>
      </c>
      <c r="C477" s="125" t="s">
        <v>1620</v>
      </c>
      <c r="D477" s="124" t="s">
        <v>221</v>
      </c>
      <c r="E477" s="123" t="s">
        <v>1621</v>
      </c>
      <c r="F477" s="126">
        <v>46496</v>
      </c>
      <c r="G477" s="126">
        <v>46499</v>
      </c>
      <c r="H477" s="123" t="s">
        <v>1622</v>
      </c>
      <c r="I477" s="123">
        <v>20.45</v>
      </c>
      <c r="J477" s="123" t="s">
        <v>1458</v>
      </c>
      <c r="K477" s="123"/>
    </row>
    <row r="478" spans="1:11" ht="19.5" customHeight="1">
      <c r="A478" s="123">
        <v>20.47</v>
      </c>
      <c r="B478" s="124">
        <v>20.47</v>
      </c>
      <c r="C478" s="125" t="s">
        <v>1623</v>
      </c>
      <c r="D478" s="124" t="s">
        <v>226</v>
      </c>
      <c r="E478" s="123" t="s">
        <v>1624</v>
      </c>
      <c r="F478" s="126">
        <v>46500</v>
      </c>
      <c r="G478" s="126">
        <v>46501</v>
      </c>
      <c r="H478" s="123" t="s">
        <v>1625</v>
      </c>
      <c r="I478" s="123">
        <v>20.46</v>
      </c>
      <c r="J478" s="123" t="s">
        <v>1458</v>
      </c>
      <c r="K478" s="123"/>
    </row>
    <row r="479" spans="1:11" ht="19.5" customHeight="1">
      <c r="A479" s="123">
        <v>20.48</v>
      </c>
      <c r="B479" s="124">
        <v>20.48</v>
      </c>
      <c r="C479" s="125" t="s">
        <v>1626</v>
      </c>
      <c r="D479" s="124" t="s">
        <v>226</v>
      </c>
      <c r="E479" s="123" t="s">
        <v>1627</v>
      </c>
      <c r="F479" s="126">
        <v>46502</v>
      </c>
      <c r="G479" s="126">
        <v>46503</v>
      </c>
      <c r="H479" s="123" t="s">
        <v>1619</v>
      </c>
      <c r="I479" s="123">
        <v>20.47</v>
      </c>
      <c r="J479" s="123" t="s">
        <v>1458</v>
      </c>
      <c r="K479" s="123"/>
    </row>
    <row r="480" spans="1:11" ht="19.5" customHeight="1">
      <c r="A480" s="123">
        <v>20.49</v>
      </c>
      <c r="B480" s="124">
        <v>20.49</v>
      </c>
      <c r="C480" s="125" t="s">
        <v>1628</v>
      </c>
      <c r="D480" s="124" t="s">
        <v>255</v>
      </c>
      <c r="E480" s="123" t="s">
        <v>1629</v>
      </c>
      <c r="F480" s="126">
        <v>46504</v>
      </c>
      <c r="G480" s="126">
        <v>46504</v>
      </c>
      <c r="H480" s="123" t="s">
        <v>1630</v>
      </c>
      <c r="I480" s="123">
        <v>20.48</v>
      </c>
      <c r="J480" s="123" t="s">
        <v>1458</v>
      </c>
      <c r="K480" s="123"/>
    </row>
    <row r="481" spans="1:11" ht="19.5" customHeight="1">
      <c r="A481" s="123" t="s">
        <v>1631</v>
      </c>
      <c r="B481" s="124" t="s">
        <v>1632</v>
      </c>
      <c r="C481" s="125" t="s">
        <v>1633</v>
      </c>
      <c r="D481" s="124" t="s">
        <v>235</v>
      </c>
      <c r="E481" s="123" t="s">
        <v>1634</v>
      </c>
      <c r="F481" s="126">
        <v>46504</v>
      </c>
      <c r="G481" s="126">
        <v>46504</v>
      </c>
      <c r="H481" s="123" t="s">
        <v>1635</v>
      </c>
      <c r="I481" s="123">
        <v>20.49</v>
      </c>
      <c r="J481" s="123" t="s">
        <v>1474</v>
      </c>
      <c r="K481" s="123"/>
    </row>
    <row r="482" spans="1:11" ht="19.5" customHeight="1">
      <c r="A482" s="123" t="s">
        <v>1636</v>
      </c>
      <c r="B482" s="124" t="s">
        <v>1637</v>
      </c>
      <c r="C482" s="125" t="s">
        <v>1638</v>
      </c>
      <c r="D482" s="124" t="s">
        <v>193</v>
      </c>
      <c r="E482" s="123"/>
      <c r="F482" s="126">
        <v>46407</v>
      </c>
      <c r="G482" s="126">
        <v>46415</v>
      </c>
      <c r="H482" s="123" t="s">
        <v>1639</v>
      </c>
      <c r="I482" s="123"/>
      <c r="J482" s="123" t="s">
        <v>1458</v>
      </c>
      <c r="K482" s="123"/>
    </row>
    <row r="483" spans="1:11" ht="19.5" customHeight="1">
      <c r="A483" s="123">
        <v>20.5</v>
      </c>
      <c r="B483" s="124">
        <v>20.5</v>
      </c>
      <c r="C483" s="125" t="s">
        <v>1640</v>
      </c>
      <c r="D483" s="124" t="s">
        <v>221</v>
      </c>
      <c r="E483" s="123" t="s">
        <v>1641</v>
      </c>
      <c r="F483" s="126">
        <v>46505</v>
      </c>
      <c r="G483" s="126">
        <v>46507</v>
      </c>
      <c r="H483" s="123" t="s">
        <v>1248</v>
      </c>
      <c r="I483" s="123" t="s">
        <v>1631</v>
      </c>
      <c r="J483" s="123" t="s">
        <v>1458</v>
      </c>
      <c r="K483" s="123"/>
    </row>
    <row r="484" spans="1:11" ht="19.5" customHeight="1">
      <c r="A484" s="123">
        <v>20.51</v>
      </c>
      <c r="B484" s="124">
        <v>20.51</v>
      </c>
      <c r="C484" s="125" t="s">
        <v>1642</v>
      </c>
      <c r="D484" s="124" t="s">
        <v>221</v>
      </c>
      <c r="E484" s="123" t="s">
        <v>1643</v>
      </c>
      <c r="F484" s="126">
        <v>46505</v>
      </c>
      <c r="G484" s="126">
        <v>46507</v>
      </c>
      <c r="H484" s="123" t="s">
        <v>273</v>
      </c>
      <c r="I484" s="123" t="s">
        <v>1631</v>
      </c>
      <c r="J484" s="123" t="s">
        <v>1458</v>
      </c>
      <c r="K484" s="123"/>
    </row>
    <row r="485" spans="1:11" ht="19.5" customHeight="1">
      <c r="A485" s="123">
        <v>20.52</v>
      </c>
      <c r="B485" s="124">
        <v>20.52</v>
      </c>
      <c r="C485" s="125" t="s">
        <v>1644</v>
      </c>
      <c r="D485" s="124" t="s">
        <v>226</v>
      </c>
      <c r="E485" s="123" t="s">
        <v>1645</v>
      </c>
      <c r="F485" s="126">
        <v>46508</v>
      </c>
      <c r="G485" s="126">
        <v>46509</v>
      </c>
      <c r="H485" s="123" t="s">
        <v>1646</v>
      </c>
      <c r="I485" s="123">
        <v>20.51</v>
      </c>
      <c r="J485" s="123" t="s">
        <v>1458</v>
      </c>
      <c r="K485" s="123"/>
    </row>
    <row r="486" spans="1:11" ht="19.5" customHeight="1">
      <c r="A486" s="123" t="s">
        <v>1647</v>
      </c>
      <c r="B486" s="124" t="s">
        <v>1648</v>
      </c>
      <c r="C486" s="125" t="s">
        <v>1649</v>
      </c>
      <c r="D486" s="124" t="s">
        <v>235</v>
      </c>
      <c r="E486" s="123"/>
      <c r="F486" s="126">
        <v>46509</v>
      </c>
      <c r="G486" s="126">
        <v>46509</v>
      </c>
      <c r="H486" s="123" t="s">
        <v>261</v>
      </c>
      <c r="I486" s="123">
        <v>20.52</v>
      </c>
      <c r="J486" s="123" t="s">
        <v>1474</v>
      </c>
      <c r="K486" s="123"/>
    </row>
    <row r="487" spans="1:11" ht="19.5" customHeight="1">
      <c r="A487" s="123" t="s">
        <v>1650</v>
      </c>
      <c r="B487" s="124" t="s">
        <v>1651</v>
      </c>
      <c r="C487" s="125" t="s">
        <v>1652</v>
      </c>
      <c r="D487" s="124" t="s">
        <v>176</v>
      </c>
      <c r="E487" s="123"/>
      <c r="F487" s="126">
        <v>46407</v>
      </c>
      <c r="G487" s="126">
        <v>46417</v>
      </c>
      <c r="H487" s="123" t="s">
        <v>1232</v>
      </c>
      <c r="I487" s="123"/>
      <c r="J487" s="123" t="s">
        <v>1458</v>
      </c>
      <c r="K487" s="123"/>
    </row>
    <row r="488" spans="1:11" ht="19.5" customHeight="1">
      <c r="A488" s="123">
        <v>20.53</v>
      </c>
      <c r="B488" s="124">
        <v>20.53</v>
      </c>
      <c r="C488" s="125" t="s">
        <v>1653</v>
      </c>
      <c r="D488" s="124" t="s">
        <v>221</v>
      </c>
      <c r="E488" s="123" t="s">
        <v>1654</v>
      </c>
      <c r="F488" s="126">
        <v>46505</v>
      </c>
      <c r="G488" s="126">
        <v>46507</v>
      </c>
      <c r="H488" s="123" t="s">
        <v>1655</v>
      </c>
      <c r="I488" s="123" t="s">
        <v>1631</v>
      </c>
      <c r="J488" s="123" t="s">
        <v>1458</v>
      </c>
      <c r="K488" s="123"/>
    </row>
    <row r="489" spans="1:11" ht="19.5" customHeight="1">
      <c r="A489" s="123">
        <v>20.54</v>
      </c>
      <c r="B489" s="124">
        <v>20.54</v>
      </c>
      <c r="C489" s="125" t="s">
        <v>1656</v>
      </c>
      <c r="D489" s="124" t="s">
        <v>221</v>
      </c>
      <c r="E489" s="123" t="s">
        <v>1657</v>
      </c>
      <c r="F489" s="126">
        <v>46508</v>
      </c>
      <c r="G489" s="126">
        <v>46510</v>
      </c>
      <c r="H489" s="123" t="s">
        <v>1658</v>
      </c>
      <c r="I489" s="123">
        <v>20.53</v>
      </c>
      <c r="J489" s="123" t="s">
        <v>1458</v>
      </c>
      <c r="K489" s="123"/>
    </row>
    <row r="490" spans="1:11" ht="19.5" customHeight="1">
      <c r="A490" s="123">
        <v>20.55</v>
      </c>
      <c r="B490" s="124">
        <v>20.55</v>
      </c>
      <c r="C490" s="125" t="s">
        <v>1659</v>
      </c>
      <c r="D490" s="124" t="s">
        <v>226</v>
      </c>
      <c r="E490" s="123" t="s">
        <v>1660</v>
      </c>
      <c r="F490" s="126">
        <v>46511</v>
      </c>
      <c r="G490" s="126">
        <v>46513</v>
      </c>
      <c r="H490" s="123" t="s">
        <v>1661</v>
      </c>
      <c r="I490" s="123">
        <v>20.54</v>
      </c>
      <c r="J490" s="123" t="s">
        <v>1458</v>
      </c>
      <c r="K490" s="123"/>
    </row>
    <row r="491" spans="1:11" ht="19.5" customHeight="1">
      <c r="A491" s="123">
        <v>20.56</v>
      </c>
      <c r="B491" s="124">
        <v>20.56</v>
      </c>
      <c r="C491" s="125" t="s">
        <v>1662</v>
      </c>
      <c r="D491" s="124" t="s">
        <v>226</v>
      </c>
      <c r="E491" s="123" t="s">
        <v>1663</v>
      </c>
      <c r="F491" s="126">
        <v>46514</v>
      </c>
      <c r="G491" s="126">
        <v>46515</v>
      </c>
      <c r="H491" s="123" t="s">
        <v>1664</v>
      </c>
      <c r="I491" s="123">
        <v>20.55</v>
      </c>
      <c r="J491" s="123" t="s">
        <v>1458</v>
      </c>
      <c r="K491" s="123"/>
    </row>
    <row r="492" spans="1:11" ht="19.5" customHeight="1">
      <c r="A492" s="123">
        <v>20.57</v>
      </c>
      <c r="B492" s="124">
        <v>20.57</v>
      </c>
      <c r="C492" s="125" t="s">
        <v>1665</v>
      </c>
      <c r="D492" s="124" t="s">
        <v>221</v>
      </c>
      <c r="E492" s="123" t="s">
        <v>1666</v>
      </c>
      <c r="F492" s="126">
        <v>46510</v>
      </c>
      <c r="G492" s="126">
        <v>46513</v>
      </c>
      <c r="H492" s="123" t="s">
        <v>1667</v>
      </c>
      <c r="I492" s="123" t="s">
        <v>1647</v>
      </c>
      <c r="J492" s="123" t="s">
        <v>1458</v>
      </c>
      <c r="K492" s="123"/>
    </row>
    <row r="493" spans="1:11" ht="19.5" customHeight="1">
      <c r="A493" s="123" t="s">
        <v>1668</v>
      </c>
      <c r="B493" s="124" t="s">
        <v>1669</v>
      </c>
      <c r="C493" s="125" t="s">
        <v>1670</v>
      </c>
      <c r="D493" s="124" t="s">
        <v>235</v>
      </c>
      <c r="E493" s="123"/>
      <c r="F493" s="126">
        <v>46513</v>
      </c>
      <c r="G493" s="126">
        <v>46513</v>
      </c>
      <c r="H493" s="123" t="s">
        <v>1635</v>
      </c>
      <c r="I493" s="123">
        <v>20.57</v>
      </c>
      <c r="J493" s="123" t="s">
        <v>1474</v>
      </c>
      <c r="K493" s="123"/>
    </row>
    <row r="494" spans="1:11" ht="19.5" customHeight="1">
      <c r="A494" s="123" t="s">
        <v>1671</v>
      </c>
      <c r="B494" s="124" t="s">
        <v>1672</v>
      </c>
      <c r="C494" s="125" t="s">
        <v>1673</v>
      </c>
      <c r="D494" s="124" t="s">
        <v>252</v>
      </c>
      <c r="E494" s="123"/>
      <c r="F494" s="126">
        <v>46407</v>
      </c>
      <c r="G494" s="126">
        <v>46410</v>
      </c>
      <c r="H494" s="123" t="s">
        <v>1674</v>
      </c>
      <c r="I494" s="123"/>
      <c r="J494" s="123" t="s">
        <v>1458</v>
      </c>
      <c r="K494" s="123"/>
    </row>
    <row r="495" spans="1:11" ht="19.5" customHeight="1">
      <c r="A495" s="123">
        <v>20.58</v>
      </c>
      <c r="B495" s="124">
        <v>20.58</v>
      </c>
      <c r="C495" s="125" t="s">
        <v>1675</v>
      </c>
      <c r="D495" s="124" t="s">
        <v>255</v>
      </c>
      <c r="E495" s="123" t="s">
        <v>1676</v>
      </c>
      <c r="F495" s="126">
        <v>46514</v>
      </c>
      <c r="G495" s="126">
        <v>46514</v>
      </c>
      <c r="H495" s="123" t="s">
        <v>1677</v>
      </c>
      <c r="I495" s="123" t="s">
        <v>1668</v>
      </c>
      <c r="J495" s="123" t="s">
        <v>1458</v>
      </c>
      <c r="K495" s="123"/>
    </row>
    <row r="496" spans="1:11" ht="19.5" customHeight="1">
      <c r="A496" s="123">
        <v>20.59</v>
      </c>
      <c r="B496" s="124">
        <v>20.59</v>
      </c>
      <c r="C496" s="125" t="s">
        <v>1678</v>
      </c>
      <c r="D496" s="124" t="s">
        <v>255</v>
      </c>
      <c r="E496" s="123" t="s">
        <v>1679</v>
      </c>
      <c r="F496" s="126">
        <v>46515</v>
      </c>
      <c r="G496" s="126">
        <v>46515</v>
      </c>
      <c r="H496" s="123" t="s">
        <v>1680</v>
      </c>
      <c r="I496" s="123">
        <v>20.58</v>
      </c>
      <c r="J496" s="123" t="s">
        <v>1458</v>
      </c>
      <c r="K496" s="123"/>
    </row>
    <row r="497" spans="1:11" ht="19.5" customHeight="1">
      <c r="A497" s="123">
        <v>20.6</v>
      </c>
      <c r="B497" s="124">
        <v>20.6</v>
      </c>
      <c r="C497" s="125" t="s">
        <v>1681</v>
      </c>
      <c r="D497" s="124" t="s">
        <v>255</v>
      </c>
      <c r="E497" s="123" t="s">
        <v>1682</v>
      </c>
      <c r="F497" s="126">
        <v>46516</v>
      </c>
      <c r="G497" s="126">
        <v>46516</v>
      </c>
      <c r="H497" s="123" t="s">
        <v>1635</v>
      </c>
      <c r="I497" s="123">
        <v>20.59</v>
      </c>
      <c r="J497" s="123" t="s">
        <v>1458</v>
      </c>
      <c r="K497" s="123"/>
    </row>
    <row r="498" spans="1:11" ht="19.5" customHeight="1">
      <c r="A498" s="123">
        <v>20.61</v>
      </c>
      <c r="B498" s="124">
        <v>20.61</v>
      </c>
      <c r="C498" s="125" t="s">
        <v>1683</v>
      </c>
      <c r="D498" s="124" t="s">
        <v>255</v>
      </c>
      <c r="E498" s="123" t="s">
        <v>1684</v>
      </c>
      <c r="F498" s="126">
        <v>46517</v>
      </c>
      <c r="G498" s="126">
        <v>46517</v>
      </c>
      <c r="H498" s="123" t="s">
        <v>1685</v>
      </c>
      <c r="I498" s="123">
        <v>20.6</v>
      </c>
      <c r="J498" s="123" t="s">
        <v>1458</v>
      </c>
      <c r="K498" s="123"/>
    </row>
    <row r="499" spans="1:11" ht="19.5" customHeight="1">
      <c r="A499" s="123" t="s">
        <v>1686</v>
      </c>
      <c r="B499" s="124" t="s">
        <v>1687</v>
      </c>
      <c r="C499" s="125" t="s">
        <v>1688</v>
      </c>
      <c r="D499" s="124" t="s">
        <v>235</v>
      </c>
      <c r="E499" s="123" t="s">
        <v>1689</v>
      </c>
      <c r="F499" s="126">
        <v>46517</v>
      </c>
      <c r="G499" s="126">
        <v>46517</v>
      </c>
      <c r="H499" s="123" t="s">
        <v>1390</v>
      </c>
      <c r="I499" s="123">
        <v>20.61</v>
      </c>
      <c r="J499" s="123" t="s">
        <v>1474</v>
      </c>
      <c r="K499" s="123"/>
    </row>
    <row r="500" spans="1:11" ht="19.5" customHeight="1">
      <c r="A500" s="123"/>
      <c r="B500" s="124"/>
      <c r="C500" s="125"/>
      <c r="D500" s="124"/>
      <c r="E500" s="123"/>
      <c r="F500" s="126"/>
      <c r="G500" s="126"/>
      <c r="H500" s="123"/>
      <c r="I500" s="123"/>
      <c r="J500" s="123"/>
      <c r="K500" s="123"/>
    </row>
    <row r="501" spans="1:11" ht="19.5" customHeight="1">
      <c r="A501" s="123"/>
      <c r="B501" s="124"/>
      <c r="C501" s="125" t="s">
        <v>1690</v>
      </c>
      <c r="D501" s="124"/>
      <c r="E501" s="123"/>
      <c r="F501" s="126"/>
      <c r="G501" s="126"/>
      <c r="H501" s="123"/>
      <c r="I501" s="123"/>
      <c r="J501" s="123"/>
      <c r="K501" s="123"/>
    </row>
    <row r="502" spans="1:11" ht="19.5" customHeight="1">
      <c r="A502" s="123" t="s">
        <v>1691</v>
      </c>
      <c r="B502" s="124">
        <v>21</v>
      </c>
      <c r="C502" s="125" t="s">
        <v>1692</v>
      </c>
      <c r="D502" s="127" t="s">
        <v>1693</v>
      </c>
      <c r="E502" s="128" t="s">
        <v>1694</v>
      </c>
      <c r="F502" s="126">
        <v>46310</v>
      </c>
      <c r="G502" s="126">
        <v>46408</v>
      </c>
      <c r="H502" s="129" t="s">
        <v>1695</v>
      </c>
      <c r="I502" s="130" t="s">
        <v>1696</v>
      </c>
      <c r="J502" s="123" t="s">
        <v>1697</v>
      </c>
      <c r="K502" s="123"/>
    </row>
    <row r="503" spans="1:11" ht="33" customHeight="1">
      <c r="A503" s="123" t="s">
        <v>1698</v>
      </c>
      <c r="B503" s="124" t="s">
        <v>1698</v>
      </c>
      <c r="C503" s="125" t="s">
        <v>1699</v>
      </c>
      <c r="D503" s="127" t="s">
        <v>1700</v>
      </c>
      <c r="E503" s="128" t="s">
        <v>1701</v>
      </c>
      <c r="F503" s="126">
        <v>46409</v>
      </c>
      <c r="G503" s="126">
        <v>46490</v>
      </c>
      <c r="H503" s="129" t="s">
        <v>361</v>
      </c>
      <c r="I503" s="130" t="s">
        <v>1691</v>
      </c>
      <c r="J503" s="123" t="s">
        <v>1697</v>
      </c>
      <c r="K503" s="123"/>
    </row>
    <row r="504" spans="1:11" ht="33" customHeight="1">
      <c r="A504" s="123" t="s">
        <v>1702</v>
      </c>
      <c r="B504" s="124">
        <v>21.1</v>
      </c>
      <c r="C504" s="125" t="s">
        <v>1703</v>
      </c>
      <c r="D504" s="127" t="s">
        <v>226</v>
      </c>
      <c r="E504" s="128" t="s">
        <v>1704</v>
      </c>
      <c r="F504" s="126">
        <v>46491</v>
      </c>
      <c r="G504" s="126">
        <v>46492</v>
      </c>
      <c r="H504" s="129" t="s">
        <v>1464</v>
      </c>
      <c r="I504" s="130" t="s">
        <v>1698</v>
      </c>
      <c r="J504" s="123" t="s">
        <v>1697</v>
      </c>
      <c r="K504" s="123"/>
    </row>
    <row r="505" spans="1:11" ht="33" customHeight="1">
      <c r="A505" s="123" t="s">
        <v>1705</v>
      </c>
      <c r="B505" s="124" t="s">
        <v>1706</v>
      </c>
      <c r="C505" s="125" t="s">
        <v>1707</v>
      </c>
      <c r="D505" s="127" t="s">
        <v>255</v>
      </c>
      <c r="E505" s="128" t="s">
        <v>1708</v>
      </c>
      <c r="F505" s="126">
        <v>46494</v>
      </c>
      <c r="G505" s="126">
        <v>46494</v>
      </c>
      <c r="H505" s="129" t="s">
        <v>1709</v>
      </c>
      <c r="I505" s="130" t="s">
        <v>1702</v>
      </c>
      <c r="J505" s="123" t="s">
        <v>1710</v>
      </c>
      <c r="K505" s="123"/>
    </row>
    <row r="506" spans="1:11" ht="33" customHeight="1">
      <c r="A506" s="123" t="s">
        <v>1711</v>
      </c>
      <c r="B506" s="124" t="s">
        <v>1712</v>
      </c>
      <c r="C506" s="125" t="s">
        <v>1713</v>
      </c>
      <c r="D506" s="127" t="s">
        <v>221</v>
      </c>
      <c r="E506" s="128" t="s">
        <v>1714</v>
      </c>
      <c r="F506" s="126">
        <v>46495</v>
      </c>
      <c r="G506" s="126">
        <v>46498</v>
      </c>
      <c r="H506" s="129" t="s">
        <v>1715</v>
      </c>
      <c r="I506" s="130" t="s">
        <v>1705</v>
      </c>
      <c r="J506" s="123" t="s">
        <v>1710</v>
      </c>
      <c r="K506" s="123"/>
    </row>
    <row r="507" spans="1:11" ht="33" customHeight="1">
      <c r="A507" s="123" t="s">
        <v>1716</v>
      </c>
      <c r="B507" s="124" t="s">
        <v>1717</v>
      </c>
      <c r="C507" s="125" t="s">
        <v>1718</v>
      </c>
      <c r="D507" s="127" t="s">
        <v>226</v>
      </c>
      <c r="E507" s="128" t="s">
        <v>1719</v>
      </c>
      <c r="F507" s="126">
        <v>46499</v>
      </c>
      <c r="G507" s="126">
        <v>46501</v>
      </c>
      <c r="H507" s="129" t="s">
        <v>1720</v>
      </c>
      <c r="I507" s="130" t="s">
        <v>1711</v>
      </c>
      <c r="J507" s="123" t="s">
        <v>1710</v>
      </c>
      <c r="K507" s="123"/>
    </row>
    <row r="508" spans="1:11" ht="33" customHeight="1">
      <c r="A508" s="123" t="s">
        <v>1721</v>
      </c>
      <c r="B508" s="124" t="s">
        <v>1722</v>
      </c>
      <c r="C508" s="125" t="s">
        <v>1723</v>
      </c>
      <c r="D508" s="127" t="s">
        <v>221</v>
      </c>
      <c r="E508" s="128" t="s">
        <v>1724</v>
      </c>
      <c r="F508" s="126">
        <v>46502</v>
      </c>
      <c r="G508" s="126">
        <v>46505</v>
      </c>
      <c r="H508" s="129" t="s">
        <v>1725</v>
      </c>
      <c r="I508" s="130" t="s">
        <v>1716</v>
      </c>
      <c r="J508" s="123" t="s">
        <v>1710</v>
      </c>
      <c r="K508" s="123"/>
    </row>
    <row r="509" spans="1:11" ht="33" customHeight="1">
      <c r="A509" s="123" t="s">
        <v>1726</v>
      </c>
      <c r="B509" s="124">
        <v>21.2</v>
      </c>
      <c r="C509" s="125" t="s">
        <v>1727</v>
      </c>
      <c r="D509" s="127" t="s">
        <v>221</v>
      </c>
      <c r="E509" s="128" t="s">
        <v>1728</v>
      </c>
      <c r="F509" s="126">
        <v>46493</v>
      </c>
      <c r="G509" s="126">
        <v>46496</v>
      </c>
      <c r="H509" s="129" t="s">
        <v>1729</v>
      </c>
      <c r="I509" s="130" t="s">
        <v>1702</v>
      </c>
      <c r="J509" s="123" t="s">
        <v>1697</v>
      </c>
      <c r="K509" s="123"/>
    </row>
    <row r="510" spans="1:11" ht="33" customHeight="1">
      <c r="A510" s="123" t="s">
        <v>1730</v>
      </c>
      <c r="B510" s="124">
        <v>21.3</v>
      </c>
      <c r="C510" s="125" t="s">
        <v>1731</v>
      </c>
      <c r="D510" s="127" t="s">
        <v>221</v>
      </c>
      <c r="E510" s="128" t="s">
        <v>1732</v>
      </c>
      <c r="F510" s="126">
        <v>46497</v>
      </c>
      <c r="G510" s="126">
        <v>46499</v>
      </c>
      <c r="H510" s="129" t="s">
        <v>369</v>
      </c>
      <c r="I510" s="130" t="s">
        <v>1726</v>
      </c>
      <c r="J510" s="123" t="s">
        <v>1697</v>
      </c>
      <c r="K510" s="123"/>
    </row>
    <row r="511" spans="1:11" ht="33" customHeight="1">
      <c r="A511" s="123" t="s">
        <v>1733</v>
      </c>
      <c r="B511" s="124" t="s">
        <v>1734</v>
      </c>
      <c r="C511" s="125" t="s">
        <v>1735</v>
      </c>
      <c r="D511" s="127" t="s">
        <v>226</v>
      </c>
      <c r="E511" s="128" t="s">
        <v>1736</v>
      </c>
      <c r="F511" s="126">
        <v>46500</v>
      </c>
      <c r="G511" s="126">
        <v>46501</v>
      </c>
      <c r="H511" s="129" t="s">
        <v>1737</v>
      </c>
      <c r="I511" s="130" t="s">
        <v>1730</v>
      </c>
      <c r="J511" s="123" t="s">
        <v>1697</v>
      </c>
      <c r="K511" s="123"/>
    </row>
    <row r="512" spans="1:11" ht="33" customHeight="1">
      <c r="A512" s="123" t="s">
        <v>1738</v>
      </c>
      <c r="B512" s="124">
        <v>21.4</v>
      </c>
      <c r="C512" s="125" t="s">
        <v>1739</v>
      </c>
      <c r="D512" s="127" t="s">
        <v>226</v>
      </c>
      <c r="E512" s="128" t="s">
        <v>1740</v>
      </c>
      <c r="F512" s="126">
        <v>46502</v>
      </c>
      <c r="G512" s="126">
        <v>46503</v>
      </c>
      <c r="H512" s="129" t="s">
        <v>380</v>
      </c>
      <c r="I512" s="130" t="s">
        <v>1733</v>
      </c>
      <c r="J512" s="123" t="s">
        <v>1697</v>
      </c>
      <c r="K512" s="123"/>
    </row>
    <row r="513" spans="1:11" ht="33" customHeight="1">
      <c r="A513" s="123" t="s">
        <v>1741</v>
      </c>
      <c r="B513" s="124" t="s">
        <v>1742</v>
      </c>
      <c r="C513" s="125" t="s">
        <v>1743</v>
      </c>
      <c r="D513" s="127" t="s">
        <v>255</v>
      </c>
      <c r="E513" s="128" t="s">
        <v>1744</v>
      </c>
      <c r="F513" s="126">
        <v>46504</v>
      </c>
      <c r="G513" s="126">
        <v>46504</v>
      </c>
      <c r="H513" s="129" t="s">
        <v>261</v>
      </c>
      <c r="I513" s="130" t="s">
        <v>1738</v>
      </c>
      <c r="J513" s="123" t="s">
        <v>1697</v>
      </c>
      <c r="K513" s="123"/>
    </row>
    <row r="514" spans="1:11" ht="33" customHeight="1">
      <c r="A514" s="123" t="s">
        <v>1745</v>
      </c>
      <c r="B514" s="124">
        <v>21.5</v>
      </c>
      <c r="C514" s="125" t="s">
        <v>1746</v>
      </c>
      <c r="D514" s="127" t="s">
        <v>255</v>
      </c>
      <c r="E514" s="128" t="s">
        <v>1747</v>
      </c>
      <c r="F514" s="126">
        <v>46505</v>
      </c>
      <c r="G514" s="126">
        <v>46505</v>
      </c>
      <c r="H514" s="129" t="s">
        <v>1748</v>
      </c>
      <c r="I514" s="130" t="s">
        <v>1741</v>
      </c>
      <c r="J514" s="123" t="s">
        <v>1697</v>
      </c>
      <c r="K514" s="123"/>
    </row>
    <row r="515" spans="1:11" ht="33" customHeight="1">
      <c r="A515" s="123" t="s">
        <v>1749</v>
      </c>
      <c r="B515" s="124">
        <v>21.6</v>
      </c>
      <c r="C515" s="125" t="s">
        <v>1750</v>
      </c>
      <c r="D515" s="127" t="s">
        <v>193</v>
      </c>
      <c r="E515" s="128" t="s">
        <v>1751</v>
      </c>
      <c r="F515" s="126">
        <v>46506</v>
      </c>
      <c r="G515" s="126">
        <v>46514</v>
      </c>
      <c r="H515" s="129" t="s">
        <v>1729</v>
      </c>
      <c r="I515" s="130" t="s">
        <v>1745</v>
      </c>
      <c r="J515" s="123" t="s">
        <v>1697</v>
      </c>
      <c r="K515" s="123"/>
    </row>
    <row r="516" spans="1:11" ht="33" customHeight="1">
      <c r="A516" s="123" t="s">
        <v>1752</v>
      </c>
      <c r="B516" s="124">
        <v>21.7</v>
      </c>
      <c r="C516" s="125" t="s">
        <v>1753</v>
      </c>
      <c r="D516" s="127" t="s">
        <v>226</v>
      </c>
      <c r="E516" s="128" t="s">
        <v>1754</v>
      </c>
      <c r="F516" s="126">
        <v>46515</v>
      </c>
      <c r="G516" s="126">
        <v>46517</v>
      </c>
      <c r="H516" s="129" t="s">
        <v>369</v>
      </c>
      <c r="I516" s="130" t="s">
        <v>1749</v>
      </c>
      <c r="J516" s="123" t="s">
        <v>1697</v>
      </c>
      <c r="K516" s="123"/>
    </row>
    <row r="517" spans="1:11" ht="33" customHeight="1">
      <c r="A517" s="123" t="s">
        <v>1755</v>
      </c>
      <c r="B517" s="124">
        <v>21.8</v>
      </c>
      <c r="C517" s="125" t="s">
        <v>1756</v>
      </c>
      <c r="D517" s="127" t="s">
        <v>255</v>
      </c>
      <c r="E517" s="128" t="s">
        <v>1757</v>
      </c>
      <c r="F517" s="126">
        <v>46518</v>
      </c>
      <c r="G517" s="126">
        <v>46518</v>
      </c>
      <c r="H517" s="129" t="s">
        <v>1748</v>
      </c>
      <c r="I517" s="130" t="s">
        <v>1752</v>
      </c>
      <c r="J517" s="123" t="s">
        <v>1697</v>
      </c>
      <c r="K517" s="123"/>
    </row>
    <row r="518" spans="1:11" ht="33" customHeight="1">
      <c r="A518" s="123" t="s">
        <v>1758</v>
      </c>
      <c r="B518" s="124">
        <v>21.9</v>
      </c>
      <c r="C518" s="125" t="s">
        <v>1759</v>
      </c>
      <c r="D518" s="127" t="s">
        <v>309</v>
      </c>
      <c r="E518" s="128" t="s">
        <v>1760</v>
      </c>
      <c r="F518" s="126">
        <v>46519</v>
      </c>
      <c r="G518" s="126">
        <v>46526</v>
      </c>
      <c r="H518" s="129" t="s">
        <v>261</v>
      </c>
      <c r="I518" s="130" t="s">
        <v>1755</v>
      </c>
      <c r="J518" s="123" t="s">
        <v>1697</v>
      </c>
      <c r="K518" s="123"/>
    </row>
    <row r="519" spans="1:11" ht="33" customHeight="1">
      <c r="A519" s="123" t="s">
        <v>1761</v>
      </c>
      <c r="B519" s="124">
        <v>21.1</v>
      </c>
      <c r="C519" s="125" t="s">
        <v>1762</v>
      </c>
      <c r="D519" s="127" t="s">
        <v>255</v>
      </c>
      <c r="E519" s="128" t="s">
        <v>1763</v>
      </c>
      <c r="F519" s="126">
        <v>46527</v>
      </c>
      <c r="G519" s="126">
        <v>46527</v>
      </c>
      <c r="H519" s="129" t="s">
        <v>1464</v>
      </c>
      <c r="I519" s="130" t="s">
        <v>1758</v>
      </c>
      <c r="J519" s="123" t="s">
        <v>1697</v>
      </c>
      <c r="K519" s="123"/>
    </row>
    <row r="520" spans="1:11" ht="33" customHeight="1">
      <c r="A520" s="123" t="s">
        <v>1764</v>
      </c>
      <c r="B520" s="124">
        <v>21.11</v>
      </c>
      <c r="C520" s="125" t="s">
        <v>1765</v>
      </c>
      <c r="D520" s="127" t="s">
        <v>221</v>
      </c>
      <c r="E520" s="128" t="s">
        <v>1766</v>
      </c>
      <c r="F520" s="126">
        <v>46528</v>
      </c>
      <c r="G520" s="126">
        <v>46531</v>
      </c>
      <c r="H520" s="129" t="s">
        <v>369</v>
      </c>
      <c r="I520" s="130" t="s">
        <v>1761</v>
      </c>
      <c r="J520" s="123" t="s">
        <v>1697</v>
      </c>
      <c r="K520" s="123"/>
    </row>
    <row r="521" spans="1:11" ht="19.5" customHeight="1">
      <c r="A521" s="123" t="s">
        <v>1767</v>
      </c>
      <c r="B521" s="124" t="s">
        <v>1768</v>
      </c>
      <c r="C521" s="125" t="s">
        <v>1769</v>
      </c>
      <c r="D521" s="127" t="s">
        <v>255</v>
      </c>
      <c r="E521" s="128" t="s">
        <v>1770</v>
      </c>
      <c r="F521" s="126">
        <v>46532</v>
      </c>
      <c r="G521" s="126">
        <v>46532</v>
      </c>
      <c r="H521" s="129" t="s">
        <v>1771</v>
      </c>
      <c r="I521" s="130" t="s">
        <v>1764</v>
      </c>
      <c r="J521" s="123" t="s">
        <v>1697</v>
      </c>
      <c r="K521" s="123"/>
    </row>
    <row r="522" spans="1:11" ht="19.5" customHeight="1">
      <c r="A522" s="123" t="s">
        <v>1772</v>
      </c>
      <c r="B522" s="124">
        <v>21.12</v>
      </c>
      <c r="C522" s="125" t="s">
        <v>1773</v>
      </c>
      <c r="D522" s="127" t="s">
        <v>221</v>
      </c>
      <c r="E522" s="128" t="s">
        <v>1774</v>
      </c>
      <c r="F522" s="126">
        <v>46533</v>
      </c>
      <c r="G522" s="126">
        <v>46535</v>
      </c>
      <c r="H522" s="129" t="s">
        <v>1737</v>
      </c>
      <c r="I522" s="130" t="s">
        <v>1767</v>
      </c>
      <c r="J522" s="123" t="s">
        <v>1697</v>
      </c>
      <c r="K522" s="123"/>
    </row>
    <row r="523" spans="1:11" ht="19.5" customHeight="1">
      <c r="A523" s="123" t="s">
        <v>1775</v>
      </c>
      <c r="B523" s="124">
        <v>21.13</v>
      </c>
      <c r="C523" s="125" t="s">
        <v>1776</v>
      </c>
      <c r="D523" s="127" t="s">
        <v>226</v>
      </c>
      <c r="E523" s="128" t="s">
        <v>1777</v>
      </c>
      <c r="F523" s="126">
        <v>46536</v>
      </c>
      <c r="G523" s="126">
        <v>46538</v>
      </c>
      <c r="H523" s="129" t="s">
        <v>380</v>
      </c>
      <c r="I523" s="130" t="s">
        <v>1772</v>
      </c>
      <c r="J523" s="123" t="s">
        <v>1697</v>
      </c>
      <c r="K523" s="123"/>
    </row>
    <row r="524" spans="1:11" ht="27.75" customHeight="1">
      <c r="A524" s="123" t="s">
        <v>1778</v>
      </c>
      <c r="B524" s="124" t="s">
        <v>1779</v>
      </c>
      <c r="C524" s="125" t="s">
        <v>1780</v>
      </c>
      <c r="D524" s="127" t="s">
        <v>255</v>
      </c>
      <c r="E524" s="128" t="s">
        <v>1781</v>
      </c>
      <c r="F524" s="126">
        <v>46539</v>
      </c>
      <c r="G524" s="126">
        <v>46539</v>
      </c>
      <c r="H524" s="129" t="s">
        <v>261</v>
      </c>
      <c r="I524" s="130" t="s">
        <v>1775</v>
      </c>
      <c r="J524" s="123" t="s">
        <v>1697</v>
      </c>
      <c r="K524" s="123"/>
    </row>
    <row r="525" spans="1:11" ht="27.75" customHeight="1">
      <c r="A525" s="123" t="s">
        <v>1782</v>
      </c>
      <c r="B525" s="124">
        <v>21.14</v>
      </c>
      <c r="C525" s="125" t="s">
        <v>1783</v>
      </c>
      <c r="D525" s="127" t="s">
        <v>255</v>
      </c>
      <c r="E525" s="128" t="s">
        <v>1784</v>
      </c>
      <c r="F525" s="126">
        <v>46540</v>
      </c>
      <c r="G525" s="126">
        <v>46540</v>
      </c>
      <c r="H525" s="129" t="s">
        <v>1748</v>
      </c>
      <c r="I525" s="130" t="s">
        <v>1778</v>
      </c>
      <c r="J525" s="123" t="s">
        <v>1697</v>
      </c>
      <c r="K525" s="123"/>
    </row>
    <row r="526" spans="1:11" ht="27.75" customHeight="1">
      <c r="A526" s="123" t="s">
        <v>1785</v>
      </c>
      <c r="B526" s="124">
        <v>21.15</v>
      </c>
      <c r="C526" s="125" t="s">
        <v>1786</v>
      </c>
      <c r="D526" s="127" t="s">
        <v>221</v>
      </c>
      <c r="E526" s="128" t="s">
        <v>1787</v>
      </c>
      <c r="F526" s="126">
        <v>46541</v>
      </c>
      <c r="G526" s="126">
        <v>46543</v>
      </c>
      <c r="H526" s="129" t="s">
        <v>1729</v>
      </c>
      <c r="I526" s="130" t="s">
        <v>1782</v>
      </c>
      <c r="J526" s="123" t="s">
        <v>1697</v>
      </c>
      <c r="K526" s="123"/>
    </row>
    <row r="527" spans="1:11" ht="27.75" customHeight="1">
      <c r="A527" s="123" t="s">
        <v>1788</v>
      </c>
      <c r="B527" s="124">
        <v>21.16</v>
      </c>
      <c r="C527" s="125" t="s">
        <v>1789</v>
      </c>
      <c r="D527" s="127" t="s">
        <v>226</v>
      </c>
      <c r="E527" s="128" t="s">
        <v>1790</v>
      </c>
      <c r="F527" s="126">
        <v>46544</v>
      </c>
      <c r="G527" s="126">
        <v>46545</v>
      </c>
      <c r="H527" s="129" t="s">
        <v>380</v>
      </c>
      <c r="I527" s="130" t="s">
        <v>1785</v>
      </c>
      <c r="J527" s="123" t="s">
        <v>1697</v>
      </c>
      <c r="K527" s="123"/>
    </row>
    <row r="528" spans="1:11" ht="27.75" customHeight="1">
      <c r="A528" s="123" t="s">
        <v>1791</v>
      </c>
      <c r="B528" s="124">
        <v>21.17</v>
      </c>
      <c r="C528" s="125" t="s">
        <v>1792</v>
      </c>
      <c r="D528" s="127" t="s">
        <v>226</v>
      </c>
      <c r="E528" s="128" t="s">
        <v>1793</v>
      </c>
      <c r="F528" s="126">
        <v>46546</v>
      </c>
      <c r="G528" s="126">
        <v>46547</v>
      </c>
      <c r="H528" s="129" t="s">
        <v>369</v>
      </c>
      <c r="I528" s="130" t="s">
        <v>1788</v>
      </c>
      <c r="J528" s="123" t="s">
        <v>1697</v>
      </c>
      <c r="K528" s="123"/>
    </row>
    <row r="529" spans="1:11" ht="27.75" customHeight="1">
      <c r="A529" s="123" t="s">
        <v>1794</v>
      </c>
      <c r="B529" s="124" t="s">
        <v>1795</v>
      </c>
      <c r="C529" s="125" t="s">
        <v>1796</v>
      </c>
      <c r="D529" s="127" t="s">
        <v>226</v>
      </c>
      <c r="E529" s="128" t="s">
        <v>1797</v>
      </c>
      <c r="F529" s="126">
        <v>46548</v>
      </c>
      <c r="G529" s="126">
        <v>46549</v>
      </c>
      <c r="H529" s="129" t="s">
        <v>1737</v>
      </c>
      <c r="I529" s="130" t="s">
        <v>1791</v>
      </c>
      <c r="J529" s="123" t="s">
        <v>1697</v>
      </c>
      <c r="K529" s="123"/>
    </row>
    <row r="530" spans="1:11" ht="27.75" customHeight="1">
      <c r="A530" s="123" t="s">
        <v>1798</v>
      </c>
      <c r="B530" s="124" t="s">
        <v>1799</v>
      </c>
      <c r="C530" s="125" t="s">
        <v>1800</v>
      </c>
      <c r="D530" s="127" t="s">
        <v>255</v>
      </c>
      <c r="E530" s="128" t="s">
        <v>1801</v>
      </c>
      <c r="F530" s="126">
        <v>46550</v>
      </c>
      <c r="G530" s="126">
        <v>46550</v>
      </c>
      <c r="H530" s="129" t="s">
        <v>261</v>
      </c>
      <c r="I530" s="130" t="s">
        <v>1794</v>
      </c>
      <c r="J530" s="123" t="s">
        <v>1697</v>
      </c>
      <c r="K530" s="123"/>
    </row>
    <row r="531" spans="1:11" ht="27.75" customHeight="1">
      <c r="A531" s="123" t="s">
        <v>1802</v>
      </c>
      <c r="B531" s="124">
        <v>21.18</v>
      </c>
      <c r="C531" s="125" t="s">
        <v>1803</v>
      </c>
      <c r="D531" s="127" t="s">
        <v>255</v>
      </c>
      <c r="E531" s="128" t="s">
        <v>1804</v>
      </c>
      <c r="F531" s="126">
        <v>46551</v>
      </c>
      <c r="G531" s="126">
        <v>46551</v>
      </c>
      <c r="H531" s="129" t="s">
        <v>1748</v>
      </c>
      <c r="I531" s="130" t="s">
        <v>1798</v>
      </c>
      <c r="J531" s="123" t="s">
        <v>1697</v>
      </c>
      <c r="K531" s="123"/>
    </row>
    <row r="532" spans="1:11" ht="27.75" customHeight="1">
      <c r="A532" s="123" t="s">
        <v>1805</v>
      </c>
      <c r="B532" s="124">
        <v>21.19</v>
      </c>
      <c r="C532" s="125" t="s">
        <v>1806</v>
      </c>
      <c r="D532" s="127" t="s">
        <v>309</v>
      </c>
      <c r="E532" s="128" t="s">
        <v>1807</v>
      </c>
      <c r="F532" s="126">
        <v>46552</v>
      </c>
      <c r="G532" s="126">
        <v>46559</v>
      </c>
      <c r="H532" s="129" t="s">
        <v>1729</v>
      </c>
      <c r="I532" s="130" t="s">
        <v>1802</v>
      </c>
      <c r="J532" s="123" t="s">
        <v>1697</v>
      </c>
      <c r="K532" s="123"/>
    </row>
    <row r="533" spans="1:11" ht="27.75" customHeight="1">
      <c r="A533" s="123" t="s">
        <v>1808</v>
      </c>
      <c r="B533" s="124">
        <v>21.2</v>
      </c>
      <c r="C533" s="125" t="s">
        <v>1809</v>
      </c>
      <c r="D533" s="127" t="s">
        <v>255</v>
      </c>
      <c r="E533" s="128" t="s">
        <v>1810</v>
      </c>
      <c r="F533" s="126">
        <v>46560</v>
      </c>
      <c r="G533" s="126">
        <v>46560</v>
      </c>
      <c r="H533" s="129" t="s">
        <v>1464</v>
      </c>
      <c r="I533" s="130" t="s">
        <v>1805</v>
      </c>
      <c r="J533" s="123" t="s">
        <v>1697</v>
      </c>
      <c r="K533" s="123"/>
    </row>
    <row r="534" spans="1:11" ht="27.75" customHeight="1">
      <c r="A534" s="123" t="s">
        <v>1811</v>
      </c>
      <c r="B534" s="124">
        <v>21.21</v>
      </c>
      <c r="C534" s="125" t="s">
        <v>1812</v>
      </c>
      <c r="D534" s="127" t="s">
        <v>221</v>
      </c>
      <c r="E534" s="128" t="s">
        <v>1813</v>
      </c>
      <c r="F534" s="126">
        <v>46561</v>
      </c>
      <c r="G534" s="126">
        <v>46563</v>
      </c>
      <c r="H534" s="129" t="s">
        <v>369</v>
      </c>
      <c r="I534" s="130" t="s">
        <v>1808</v>
      </c>
      <c r="J534" s="123" t="s">
        <v>1697</v>
      </c>
      <c r="K534" s="123"/>
    </row>
    <row r="535" spans="1:11" ht="29.25" customHeight="1">
      <c r="A535" s="123" t="s">
        <v>1814</v>
      </c>
      <c r="B535" s="124" t="s">
        <v>1815</v>
      </c>
      <c r="C535" s="125" t="s">
        <v>1816</v>
      </c>
      <c r="D535" s="127" t="s">
        <v>226</v>
      </c>
      <c r="E535" s="128" t="s">
        <v>1817</v>
      </c>
      <c r="F535" s="126">
        <v>46564</v>
      </c>
      <c r="G535" s="126">
        <v>46566</v>
      </c>
      <c r="H535" s="129" t="s">
        <v>1737</v>
      </c>
      <c r="I535" s="130" t="s">
        <v>1811</v>
      </c>
      <c r="J535" s="123" t="s">
        <v>1697</v>
      </c>
      <c r="K535" s="123"/>
    </row>
    <row r="536" spans="1:11" ht="29.25" customHeight="1">
      <c r="A536" s="123" t="s">
        <v>1818</v>
      </c>
      <c r="B536" s="124">
        <v>21.22</v>
      </c>
      <c r="C536" s="125" t="s">
        <v>1819</v>
      </c>
      <c r="D536" s="127" t="s">
        <v>252</v>
      </c>
      <c r="E536" s="128" t="s">
        <v>1820</v>
      </c>
      <c r="F536" s="126">
        <v>46567</v>
      </c>
      <c r="G536" s="126">
        <v>46570</v>
      </c>
      <c r="H536" s="129" t="s">
        <v>1821</v>
      </c>
      <c r="I536" s="130" t="s">
        <v>1814</v>
      </c>
      <c r="J536" s="123" t="s">
        <v>1697</v>
      </c>
      <c r="K536" s="123"/>
    </row>
    <row r="537" spans="1:11" ht="29.25" customHeight="1">
      <c r="A537" s="123" t="s">
        <v>1822</v>
      </c>
      <c r="B537" s="124">
        <v>21.23</v>
      </c>
      <c r="C537" s="125" t="s">
        <v>1823</v>
      </c>
      <c r="D537" s="127" t="s">
        <v>221</v>
      </c>
      <c r="E537" s="128" t="s">
        <v>1824</v>
      </c>
      <c r="F537" s="126">
        <v>46571</v>
      </c>
      <c r="G537" s="126">
        <v>46574</v>
      </c>
      <c r="H537" s="129" t="s">
        <v>1729</v>
      </c>
      <c r="I537" s="130" t="s">
        <v>1818</v>
      </c>
      <c r="J537" s="123" t="s">
        <v>1697</v>
      </c>
      <c r="K537" s="123"/>
    </row>
    <row r="538" spans="1:11" ht="29.25" customHeight="1">
      <c r="A538" s="123" t="s">
        <v>1825</v>
      </c>
      <c r="B538" s="124" t="s">
        <v>1826</v>
      </c>
      <c r="C538" s="125" t="s">
        <v>1827</v>
      </c>
      <c r="D538" s="127" t="s">
        <v>252</v>
      </c>
      <c r="E538" s="128" t="s">
        <v>1828</v>
      </c>
      <c r="F538" s="126">
        <v>46571</v>
      </c>
      <c r="G538" s="126">
        <v>46575</v>
      </c>
      <c r="H538" s="129" t="s">
        <v>1829</v>
      </c>
      <c r="I538" s="130" t="s">
        <v>1818</v>
      </c>
      <c r="J538" s="123" t="s">
        <v>1697</v>
      </c>
      <c r="K538" s="123"/>
    </row>
    <row r="539" spans="1:11" ht="29.25" customHeight="1">
      <c r="A539" s="123" t="s">
        <v>1830</v>
      </c>
      <c r="B539" s="124">
        <v>21.24</v>
      </c>
      <c r="C539" s="125" t="s">
        <v>1831</v>
      </c>
      <c r="D539" s="127" t="s">
        <v>226</v>
      </c>
      <c r="E539" s="128" t="s">
        <v>1832</v>
      </c>
      <c r="F539" s="126">
        <v>46575</v>
      </c>
      <c r="G539" s="126">
        <v>46576</v>
      </c>
      <c r="H539" s="129" t="s">
        <v>380</v>
      </c>
      <c r="I539" s="130" t="s">
        <v>1822</v>
      </c>
      <c r="J539" s="123" t="s">
        <v>1697</v>
      </c>
      <c r="K539" s="123"/>
    </row>
    <row r="540" spans="1:11" ht="29.25" customHeight="1">
      <c r="A540" s="123" t="s">
        <v>1833</v>
      </c>
      <c r="B540" s="124">
        <v>21.25</v>
      </c>
      <c r="C540" s="125" t="s">
        <v>1834</v>
      </c>
      <c r="D540" s="127" t="s">
        <v>226</v>
      </c>
      <c r="E540" s="128" t="s">
        <v>1835</v>
      </c>
      <c r="F540" s="126">
        <v>46577</v>
      </c>
      <c r="G540" s="126">
        <v>46578</v>
      </c>
      <c r="H540" s="129" t="s">
        <v>1836</v>
      </c>
      <c r="I540" s="130" t="s">
        <v>1830</v>
      </c>
      <c r="J540" s="123" t="s">
        <v>1697</v>
      </c>
      <c r="K540" s="123"/>
    </row>
    <row r="541" spans="1:11" ht="29.25" customHeight="1">
      <c r="A541" s="123" t="s">
        <v>1837</v>
      </c>
      <c r="B541" s="124" t="s">
        <v>1838</v>
      </c>
      <c r="C541" s="125" t="s">
        <v>1839</v>
      </c>
      <c r="D541" s="127" t="s">
        <v>255</v>
      </c>
      <c r="E541" s="128" t="s">
        <v>1840</v>
      </c>
      <c r="F541" s="126">
        <v>46579</v>
      </c>
      <c r="G541" s="126">
        <v>46579</v>
      </c>
      <c r="H541" s="129" t="s">
        <v>261</v>
      </c>
      <c r="I541" s="130" t="s">
        <v>1833</v>
      </c>
      <c r="J541" s="123" t="s">
        <v>1697</v>
      </c>
      <c r="K541" s="123"/>
    </row>
    <row r="542" spans="1:11" ht="29.25" customHeight="1">
      <c r="A542" s="123" t="s">
        <v>1841</v>
      </c>
      <c r="B542" s="124">
        <v>21.26</v>
      </c>
      <c r="C542" s="125" t="s">
        <v>1842</v>
      </c>
      <c r="D542" s="127" t="s">
        <v>255</v>
      </c>
      <c r="E542" s="128" t="s">
        <v>1843</v>
      </c>
      <c r="F542" s="126">
        <v>46580</v>
      </c>
      <c r="G542" s="126">
        <v>46580</v>
      </c>
      <c r="H542" s="129" t="s">
        <v>1748</v>
      </c>
      <c r="I542" s="130" t="s">
        <v>1837</v>
      </c>
      <c r="J542" s="123" t="s">
        <v>1697</v>
      </c>
      <c r="K542" s="123"/>
    </row>
    <row r="543" spans="1:11" ht="29.25" customHeight="1">
      <c r="A543" s="123" t="s">
        <v>1844</v>
      </c>
      <c r="B543" s="124">
        <v>21.27</v>
      </c>
      <c r="C543" s="125" t="s">
        <v>1845</v>
      </c>
      <c r="D543" s="127" t="s">
        <v>309</v>
      </c>
      <c r="E543" s="128" t="s">
        <v>1846</v>
      </c>
      <c r="F543" s="126">
        <v>46581</v>
      </c>
      <c r="G543" s="126">
        <v>46588</v>
      </c>
      <c r="H543" s="129" t="s">
        <v>1729</v>
      </c>
      <c r="I543" s="130" t="s">
        <v>1841</v>
      </c>
      <c r="J543" s="123" t="s">
        <v>1697</v>
      </c>
      <c r="K543" s="123"/>
    </row>
    <row r="544" spans="1:11" ht="29.25" customHeight="1">
      <c r="A544" s="123" t="s">
        <v>1847</v>
      </c>
      <c r="B544" s="124" t="s">
        <v>1848</v>
      </c>
      <c r="C544" s="125" t="s">
        <v>1849</v>
      </c>
      <c r="D544" s="127" t="s">
        <v>235</v>
      </c>
      <c r="E544" s="128" t="s">
        <v>1850</v>
      </c>
      <c r="F544" s="126">
        <v>46588</v>
      </c>
      <c r="G544" s="126">
        <v>46588</v>
      </c>
      <c r="H544" s="129" t="s">
        <v>261</v>
      </c>
      <c r="I544" s="130" t="s">
        <v>1844</v>
      </c>
      <c r="J544" s="123" t="s">
        <v>1474</v>
      </c>
      <c r="K544" s="123"/>
    </row>
    <row r="545" spans="1:11" ht="29.25" customHeight="1">
      <c r="A545" s="123" t="s">
        <v>1851</v>
      </c>
      <c r="B545" s="124" t="s">
        <v>1851</v>
      </c>
      <c r="C545" s="125" t="s">
        <v>1852</v>
      </c>
      <c r="D545" s="127" t="s">
        <v>1158</v>
      </c>
      <c r="E545" s="128" t="s">
        <v>1853</v>
      </c>
      <c r="F545" s="126">
        <v>46589</v>
      </c>
      <c r="G545" s="126">
        <v>46595</v>
      </c>
      <c r="H545" s="129" t="s">
        <v>1854</v>
      </c>
      <c r="I545" s="130" t="s">
        <v>1847</v>
      </c>
      <c r="J545" s="123" t="s">
        <v>1697</v>
      </c>
      <c r="K545" s="123"/>
    </row>
    <row r="546" spans="1:11" ht="29.25" customHeight="1">
      <c r="A546" s="123" t="s">
        <v>1855</v>
      </c>
      <c r="B546" s="124">
        <v>21.23</v>
      </c>
      <c r="C546" s="125" t="s">
        <v>1856</v>
      </c>
      <c r="D546" s="127" t="s">
        <v>226</v>
      </c>
      <c r="E546" s="128" t="s">
        <v>1857</v>
      </c>
      <c r="F546" s="126">
        <v>46596</v>
      </c>
      <c r="G546" s="126">
        <v>46597</v>
      </c>
      <c r="H546" s="129" t="s">
        <v>1854</v>
      </c>
      <c r="I546" s="130" t="s">
        <v>1851</v>
      </c>
      <c r="J546" s="123" t="s">
        <v>1697</v>
      </c>
      <c r="K546" s="123"/>
    </row>
    <row r="547" spans="1:11" ht="21.75" customHeight="1">
      <c r="A547" s="123" t="s">
        <v>1858</v>
      </c>
      <c r="B547" s="124">
        <v>21.24</v>
      </c>
      <c r="C547" s="125" t="s">
        <v>1859</v>
      </c>
      <c r="D547" s="127" t="s">
        <v>226</v>
      </c>
      <c r="E547" s="128" t="s">
        <v>1860</v>
      </c>
      <c r="F547" s="126">
        <v>46598</v>
      </c>
      <c r="G547" s="126">
        <v>46599</v>
      </c>
      <c r="H547" s="129" t="s">
        <v>1854</v>
      </c>
      <c r="I547" s="130" t="s">
        <v>1855</v>
      </c>
      <c r="J547" s="123" t="s">
        <v>1697</v>
      </c>
      <c r="K547" s="123"/>
    </row>
    <row r="548" spans="1:11" ht="13.5" customHeight="1">
      <c r="A548" s="123" t="s">
        <v>1861</v>
      </c>
      <c r="B548" s="124">
        <v>21.25</v>
      </c>
      <c r="C548" s="125" t="s">
        <v>1862</v>
      </c>
      <c r="D548" s="127" t="s">
        <v>255</v>
      </c>
      <c r="E548" s="128" t="s">
        <v>1863</v>
      </c>
      <c r="F548" s="126">
        <v>46600</v>
      </c>
      <c r="G548" s="126">
        <v>46600</v>
      </c>
      <c r="H548" s="129" t="s">
        <v>1854</v>
      </c>
      <c r="I548" s="130" t="s">
        <v>1858</v>
      </c>
      <c r="J548" s="123" t="s">
        <v>1697</v>
      </c>
      <c r="K548" s="123"/>
    </row>
    <row r="549" spans="1:11" ht="27.75" customHeight="1">
      <c r="A549" s="123" t="s">
        <v>1864</v>
      </c>
      <c r="B549" s="124">
        <v>21.26</v>
      </c>
      <c r="C549" s="125" t="s">
        <v>1865</v>
      </c>
      <c r="D549" s="127" t="s">
        <v>255</v>
      </c>
      <c r="E549" s="128" t="s">
        <v>1866</v>
      </c>
      <c r="F549" s="126">
        <v>46601</v>
      </c>
      <c r="G549" s="126">
        <v>46601</v>
      </c>
      <c r="H549" s="129" t="s">
        <v>261</v>
      </c>
      <c r="I549" s="130" t="s">
        <v>1861</v>
      </c>
      <c r="J549" s="123" t="s">
        <v>1697</v>
      </c>
      <c r="K549" s="123"/>
    </row>
    <row r="550" spans="1:11" ht="33" customHeight="1">
      <c r="A550" s="123" t="s">
        <v>1867</v>
      </c>
      <c r="B550" s="124" t="s">
        <v>1868</v>
      </c>
      <c r="C550" s="125" t="s">
        <v>1869</v>
      </c>
      <c r="D550" s="127" t="s">
        <v>235</v>
      </c>
      <c r="E550" s="128" t="s">
        <v>1870</v>
      </c>
      <c r="F550" s="126"/>
      <c r="G550" s="126"/>
      <c r="H550" s="129" t="s">
        <v>1871</v>
      </c>
      <c r="I550" s="130" t="s">
        <v>1864</v>
      </c>
      <c r="J550" s="123" t="s">
        <v>1474</v>
      </c>
      <c r="K550" s="123"/>
    </row>
    <row r="551" spans="1:11" ht="33" customHeight="1">
      <c r="A551" s="123" t="s">
        <v>1872</v>
      </c>
      <c r="B551" s="124" t="s">
        <v>1872</v>
      </c>
      <c r="C551" s="125" t="s">
        <v>1873</v>
      </c>
      <c r="D551" s="127" t="s">
        <v>1327</v>
      </c>
      <c r="E551" s="128" t="s">
        <v>1874</v>
      </c>
      <c r="F551" s="126">
        <v>46311</v>
      </c>
      <c r="G551" s="126">
        <v>46333</v>
      </c>
      <c r="H551" s="129" t="s">
        <v>1232</v>
      </c>
      <c r="I551" s="130" t="s">
        <v>1867</v>
      </c>
      <c r="J551" s="123" t="s">
        <v>1697</v>
      </c>
      <c r="K551" s="123"/>
    </row>
    <row r="552" spans="1:11" ht="33" customHeight="1">
      <c r="A552" s="123" t="s">
        <v>1875</v>
      </c>
      <c r="B552" s="124">
        <v>21.27</v>
      </c>
      <c r="C552" s="125" t="s">
        <v>1876</v>
      </c>
      <c r="D552" s="127" t="s">
        <v>221</v>
      </c>
      <c r="E552" s="128" t="s">
        <v>1877</v>
      </c>
      <c r="F552" s="126">
        <v>46334</v>
      </c>
      <c r="G552" s="126">
        <v>46336</v>
      </c>
      <c r="H552" s="129" t="s">
        <v>348</v>
      </c>
      <c r="I552" s="130" t="s">
        <v>1872</v>
      </c>
      <c r="J552" s="123" t="s">
        <v>1697</v>
      </c>
      <c r="K552" s="123"/>
    </row>
    <row r="553" spans="1:11" ht="33" customHeight="1">
      <c r="A553" s="123" t="s">
        <v>1878</v>
      </c>
      <c r="B553" s="124" t="s">
        <v>1879</v>
      </c>
      <c r="C553" s="125" t="s">
        <v>1880</v>
      </c>
      <c r="D553" s="127" t="s">
        <v>226</v>
      </c>
      <c r="E553" s="128" t="s">
        <v>1881</v>
      </c>
      <c r="F553" s="126">
        <v>46337</v>
      </c>
      <c r="G553" s="126">
        <v>46338</v>
      </c>
      <c r="H553" s="129" t="s">
        <v>1096</v>
      </c>
      <c r="I553" s="130" t="s">
        <v>1875</v>
      </c>
      <c r="J553" s="123" t="s">
        <v>1697</v>
      </c>
      <c r="K553" s="123"/>
    </row>
    <row r="554" spans="1:11" ht="33" customHeight="1">
      <c r="A554" s="123" t="s">
        <v>1882</v>
      </c>
      <c r="B554" s="124">
        <v>21.28</v>
      </c>
      <c r="C554" s="125" t="s">
        <v>1883</v>
      </c>
      <c r="D554" s="127" t="s">
        <v>226</v>
      </c>
      <c r="E554" s="128" t="s">
        <v>1884</v>
      </c>
      <c r="F554" s="126">
        <v>46339</v>
      </c>
      <c r="G554" s="126">
        <v>46340</v>
      </c>
      <c r="H554" s="129" t="s">
        <v>1771</v>
      </c>
      <c r="I554" s="130" t="s">
        <v>1878</v>
      </c>
      <c r="J554" s="123" t="s">
        <v>1697</v>
      </c>
      <c r="K554" s="123"/>
    </row>
    <row r="555" spans="1:11" ht="33" customHeight="1">
      <c r="A555" s="123" t="s">
        <v>1885</v>
      </c>
      <c r="B555" s="124">
        <v>21.29</v>
      </c>
      <c r="C555" s="125" t="s">
        <v>1886</v>
      </c>
      <c r="D555" s="127" t="s">
        <v>182</v>
      </c>
      <c r="E555" s="128" t="s">
        <v>1887</v>
      </c>
      <c r="F555" s="126">
        <v>46341</v>
      </c>
      <c r="G555" s="126">
        <v>46345</v>
      </c>
      <c r="H555" s="129" t="s">
        <v>1888</v>
      </c>
      <c r="I555" s="130" t="s">
        <v>1882</v>
      </c>
      <c r="J555" s="123" t="s">
        <v>1697</v>
      </c>
      <c r="K555" s="123"/>
    </row>
    <row r="556" spans="1:11" ht="33" customHeight="1">
      <c r="A556" s="123" t="s">
        <v>1889</v>
      </c>
      <c r="B556" s="124">
        <v>21.3</v>
      </c>
      <c r="C556" s="125" t="s">
        <v>1890</v>
      </c>
      <c r="D556" s="127" t="s">
        <v>221</v>
      </c>
      <c r="E556" s="128" t="s">
        <v>1891</v>
      </c>
      <c r="F556" s="126">
        <v>46346</v>
      </c>
      <c r="G556" s="126">
        <v>46349</v>
      </c>
      <c r="H556" s="129" t="s">
        <v>1892</v>
      </c>
      <c r="I556" s="130" t="s">
        <v>1885</v>
      </c>
      <c r="J556" s="123" t="s">
        <v>1697</v>
      </c>
      <c r="K556" s="123"/>
    </row>
    <row r="557" spans="1:11" ht="33" customHeight="1">
      <c r="A557" s="123" t="s">
        <v>1893</v>
      </c>
      <c r="B557" s="124">
        <v>21.31</v>
      </c>
      <c r="C557" s="125" t="s">
        <v>1894</v>
      </c>
      <c r="D557" s="127" t="s">
        <v>1158</v>
      </c>
      <c r="E557" s="128" t="s">
        <v>1895</v>
      </c>
      <c r="F557" s="126">
        <v>46341</v>
      </c>
      <c r="G557" s="126">
        <v>46346</v>
      </c>
      <c r="H557" s="129" t="s">
        <v>1202</v>
      </c>
      <c r="I557" s="130" t="s">
        <v>1882</v>
      </c>
      <c r="J557" s="123" t="s">
        <v>1697</v>
      </c>
      <c r="K557" s="123"/>
    </row>
    <row r="558" spans="1:11" ht="33" customHeight="1">
      <c r="A558" s="123" t="s">
        <v>1896</v>
      </c>
      <c r="B558" s="124">
        <v>21.32</v>
      </c>
      <c r="C558" s="125" t="s">
        <v>1897</v>
      </c>
      <c r="D558" s="127" t="s">
        <v>182</v>
      </c>
      <c r="E558" s="128" t="s">
        <v>1898</v>
      </c>
      <c r="F558" s="126">
        <v>46347</v>
      </c>
      <c r="G558" s="126">
        <v>46352</v>
      </c>
      <c r="H558" s="129" t="s">
        <v>1899</v>
      </c>
      <c r="I558" s="130" t="s">
        <v>1893</v>
      </c>
      <c r="J558" s="123" t="s">
        <v>1697</v>
      </c>
      <c r="K558" s="123"/>
    </row>
    <row r="559" spans="1:11" ht="33" customHeight="1">
      <c r="A559" s="123" t="s">
        <v>1900</v>
      </c>
      <c r="B559" s="124">
        <v>21.33</v>
      </c>
      <c r="C559" s="125" t="s">
        <v>1901</v>
      </c>
      <c r="D559" s="127" t="s">
        <v>182</v>
      </c>
      <c r="E559" s="128" t="s">
        <v>1902</v>
      </c>
      <c r="F559" s="126">
        <v>46341</v>
      </c>
      <c r="G559" s="126">
        <v>46345</v>
      </c>
      <c r="H559" s="129" t="s">
        <v>1398</v>
      </c>
      <c r="I559" s="130" t="s">
        <v>1882</v>
      </c>
      <c r="J559" s="123" t="s">
        <v>1697</v>
      </c>
      <c r="K559" s="123"/>
    </row>
    <row r="560" spans="1:11" ht="33" customHeight="1">
      <c r="A560" s="123" t="s">
        <v>1903</v>
      </c>
      <c r="B560" s="124">
        <v>21.34</v>
      </c>
      <c r="C560" s="125" t="s">
        <v>1904</v>
      </c>
      <c r="D560" s="127" t="s">
        <v>182</v>
      </c>
      <c r="E560" s="128" t="s">
        <v>1905</v>
      </c>
      <c r="F560" s="126">
        <v>46341</v>
      </c>
      <c r="G560" s="126">
        <v>46345</v>
      </c>
      <c r="H560" s="129" t="s">
        <v>1248</v>
      </c>
      <c r="I560" s="130" t="s">
        <v>1882</v>
      </c>
      <c r="J560" s="123" t="s">
        <v>1697</v>
      </c>
      <c r="K560" s="123"/>
    </row>
    <row r="561" spans="1:26" ht="33" customHeight="1">
      <c r="A561" s="123" t="s">
        <v>1906</v>
      </c>
      <c r="B561" s="124">
        <v>21.35</v>
      </c>
      <c r="C561" s="125" t="s">
        <v>1907</v>
      </c>
      <c r="D561" s="127" t="s">
        <v>221</v>
      </c>
      <c r="E561" s="128" t="s">
        <v>1908</v>
      </c>
      <c r="F561" s="126">
        <v>46341</v>
      </c>
      <c r="G561" s="126">
        <v>46343</v>
      </c>
      <c r="H561" s="129" t="s">
        <v>1909</v>
      </c>
      <c r="I561" s="130" t="s">
        <v>1882</v>
      </c>
      <c r="J561" s="123" t="s">
        <v>1697</v>
      </c>
      <c r="K561" s="123"/>
    </row>
    <row r="562" spans="1:26" ht="33" customHeight="1">
      <c r="A562" s="123" t="s">
        <v>1910</v>
      </c>
      <c r="B562" s="124">
        <v>21.36</v>
      </c>
      <c r="C562" s="125" t="s">
        <v>1911</v>
      </c>
      <c r="D562" s="127" t="s">
        <v>226</v>
      </c>
      <c r="E562" s="128" t="s">
        <v>1912</v>
      </c>
      <c r="F562" s="126">
        <v>46346</v>
      </c>
      <c r="G562" s="126">
        <v>46347</v>
      </c>
      <c r="H562" s="129" t="s">
        <v>1248</v>
      </c>
      <c r="I562" s="130" t="s">
        <v>1903</v>
      </c>
      <c r="J562" s="123" t="s">
        <v>1697</v>
      </c>
      <c r="K562" s="123"/>
    </row>
    <row r="563" spans="1:26" ht="13.5" customHeight="1">
      <c r="A563" s="123" t="s">
        <v>1913</v>
      </c>
      <c r="B563" s="124" t="s">
        <v>1914</v>
      </c>
      <c r="C563" s="125" t="s">
        <v>1915</v>
      </c>
      <c r="D563" s="127" t="s">
        <v>255</v>
      </c>
      <c r="E563" s="128" t="s">
        <v>1916</v>
      </c>
      <c r="F563" s="126">
        <v>46344</v>
      </c>
      <c r="G563" s="126">
        <v>46344</v>
      </c>
      <c r="H563" s="129" t="s">
        <v>1176</v>
      </c>
      <c r="I563" s="130" t="s">
        <v>1906</v>
      </c>
      <c r="J563" s="123" t="s">
        <v>1697</v>
      </c>
      <c r="K563" s="123"/>
    </row>
    <row r="564" spans="1:26" ht="27.75" customHeight="1">
      <c r="A564" s="123" t="s">
        <v>1917</v>
      </c>
      <c r="B564" s="124" t="s">
        <v>1918</v>
      </c>
      <c r="C564" s="125" t="s">
        <v>1919</v>
      </c>
      <c r="D564" s="127" t="s">
        <v>235</v>
      </c>
      <c r="E564" s="128" t="s">
        <v>1920</v>
      </c>
      <c r="F564" s="126"/>
      <c r="G564" s="126"/>
      <c r="H564" s="129" t="s">
        <v>261</v>
      </c>
      <c r="I564" s="130" t="s">
        <v>1913</v>
      </c>
      <c r="J564" s="123" t="s">
        <v>1474</v>
      </c>
      <c r="K564" s="123"/>
    </row>
    <row r="565" spans="1:26" ht="19.5" customHeight="1">
      <c r="A565" s="123" t="s">
        <v>1921</v>
      </c>
      <c r="B565" s="124">
        <v>21.37</v>
      </c>
      <c r="C565" s="125" t="s">
        <v>1922</v>
      </c>
      <c r="D565" s="127" t="s">
        <v>182</v>
      </c>
      <c r="E565" s="128" t="s">
        <v>1923</v>
      </c>
      <c r="F565" s="126">
        <v>46334</v>
      </c>
      <c r="G565" s="126">
        <v>46339</v>
      </c>
      <c r="H565" s="129" t="s">
        <v>1924</v>
      </c>
      <c r="I565" s="130" t="s">
        <v>1917</v>
      </c>
      <c r="J565" s="123" t="s">
        <v>1710</v>
      </c>
      <c r="K565" s="12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spans="1:26" ht="19.5" customHeight="1">
      <c r="A566" s="123" t="s">
        <v>1925</v>
      </c>
      <c r="B566" s="124" t="s">
        <v>1925</v>
      </c>
      <c r="C566" s="125" t="s">
        <v>1926</v>
      </c>
      <c r="D566" s="127" t="s">
        <v>359</v>
      </c>
      <c r="E566" s="128" t="s">
        <v>1927</v>
      </c>
      <c r="F566" s="126">
        <v>46311</v>
      </c>
      <c r="G566" s="126">
        <v>46331</v>
      </c>
      <c r="H566" s="129" t="s">
        <v>1232</v>
      </c>
      <c r="I566" s="130" t="s">
        <v>1917</v>
      </c>
      <c r="J566" s="123" t="s">
        <v>1697</v>
      </c>
      <c r="K566" s="12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spans="1:26" ht="19.5" customHeight="1">
      <c r="A567" s="123" t="s">
        <v>1928</v>
      </c>
      <c r="B567" s="124">
        <v>21.37</v>
      </c>
      <c r="C567" s="125" t="s">
        <v>1929</v>
      </c>
      <c r="D567" s="127" t="s">
        <v>252</v>
      </c>
      <c r="E567" s="128" t="s">
        <v>1930</v>
      </c>
      <c r="F567" s="126">
        <v>46332</v>
      </c>
      <c r="G567" s="126">
        <v>46336</v>
      </c>
      <c r="H567" s="129" t="s">
        <v>1244</v>
      </c>
      <c r="I567" s="130" t="s">
        <v>1925</v>
      </c>
      <c r="J567" s="123" t="s">
        <v>1697</v>
      </c>
      <c r="K567" s="12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spans="1:26" ht="19.5" customHeight="1">
      <c r="A568" s="123" t="s">
        <v>1931</v>
      </c>
      <c r="B568" s="124">
        <v>21.38</v>
      </c>
      <c r="C568" s="125" t="s">
        <v>1932</v>
      </c>
      <c r="D568" s="127" t="s">
        <v>182</v>
      </c>
      <c r="E568" s="128" t="s">
        <v>1933</v>
      </c>
      <c r="F568" s="126">
        <v>46332</v>
      </c>
      <c r="G568" s="126">
        <v>46337</v>
      </c>
      <c r="H568" s="129" t="s">
        <v>1244</v>
      </c>
      <c r="I568" s="130" t="s">
        <v>1925</v>
      </c>
      <c r="J568" s="123" t="s">
        <v>1697</v>
      </c>
      <c r="K568" s="12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spans="1:26" ht="19.5" customHeight="1">
      <c r="A569" s="123" t="s">
        <v>1934</v>
      </c>
      <c r="B569" s="124">
        <v>21.39</v>
      </c>
      <c r="C569" s="125" t="s">
        <v>1935</v>
      </c>
      <c r="D569" s="127" t="s">
        <v>226</v>
      </c>
      <c r="E569" s="128" t="s">
        <v>1936</v>
      </c>
      <c r="F569" s="126">
        <v>46337</v>
      </c>
      <c r="G569" s="126">
        <v>46338</v>
      </c>
      <c r="H569" s="129" t="s">
        <v>1244</v>
      </c>
      <c r="I569" s="130" t="s">
        <v>1928</v>
      </c>
      <c r="J569" s="123" t="s">
        <v>1697</v>
      </c>
      <c r="K569" s="12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spans="1:26" ht="21.75" customHeight="1">
      <c r="A570" s="123" t="s">
        <v>1937</v>
      </c>
      <c r="B570" s="124">
        <v>21.4</v>
      </c>
      <c r="C570" s="125" t="s">
        <v>1938</v>
      </c>
      <c r="D570" s="127" t="s">
        <v>221</v>
      </c>
      <c r="E570" s="128" t="s">
        <v>1939</v>
      </c>
      <c r="F570" s="126">
        <v>46337</v>
      </c>
      <c r="G570" s="126">
        <v>46339</v>
      </c>
      <c r="H570" s="129" t="s">
        <v>1244</v>
      </c>
      <c r="I570" s="130" t="s">
        <v>1928</v>
      </c>
      <c r="J570" s="123" t="s">
        <v>1697</v>
      </c>
      <c r="K570" s="123"/>
    </row>
    <row r="571" spans="1:26" ht="13.5" customHeight="1">
      <c r="A571" s="123" t="s">
        <v>1940</v>
      </c>
      <c r="B571" s="124">
        <v>21.41</v>
      </c>
      <c r="C571" s="125" t="s">
        <v>1941</v>
      </c>
      <c r="D571" s="127" t="s">
        <v>235</v>
      </c>
      <c r="E571" s="128" t="s">
        <v>1942</v>
      </c>
      <c r="F571" s="126" t="s">
        <v>235</v>
      </c>
      <c r="G571" s="126" t="s">
        <v>235</v>
      </c>
      <c r="H571" s="129" t="s">
        <v>235</v>
      </c>
      <c r="I571" s="130" t="s">
        <v>1925</v>
      </c>
      <c r="J571" s="123" t="s">
        <v>235</v>
      </c>
      <c r="K571" s="123"/>
    </row>
    <row r="572" spans="1:26" ht="27.75" customHeight="1">
      <c r="A572" s="123" t="s">
        <v>1943</v>
      </c>
      <c r="B572" s="124">
        <v>21.42</v>
      </c>
      <c r="C572" s="125" t="s">
        <v>1944</v>
      </c>
      <c r="D572" s="127" t="s">
        <v>226</v>
      </c>
      <c r="E572" s="128" t="s">
        <v>1945</v>
      </c>
      <c r="F572" s="126">
        <v>46346</v>
      </c>
      <c r="G572" s="126">
        <v>46347</v>
      </c>
      <c r="H572" s="129" t="s">
        <v>1946</v>
      </c>
      <c r="I572" s="130" t="s">
        <v>1900</v>
      </c>
      <c r="J572" s="123" t="s">
        <v>1697</v>
      </c>
      <c r="K572" s="123"/>
    </row>
    <row r="573" spans="1:26" ht="19.5" customHeight="1">
      <c r="A573" s="123" t="s">
        <v>1947</v>
      </c>
      <c r="B573" s="124">
        <v>21.43</v>
      </c>
      <c r="C573" s="125" t="s">
        <v>1948</v>
      </c>
      <c r="D573" s="127" t="s">
        <v>221</v>
      </c>
      <c r="E573" s="128" t="s">
        <v>1949</v>
      </c>
      <c r="F573" s="126">
        <v>46338</v>
      </c>
      <c r="G573" s="126">
        <v>46340</v>
      </c>
      <c r="H573" s="129" t="s">
        <v>1248</v>
      </c>
      <c r="I573" s="130" t="s">
        <v>1950</v>
      </c>
      <c r="J573" s="123" t="s">
        <v>1697</v>
      </c>
      <c r="K573" s="12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spans="1:26" ht="19.5" customHeight="1">
      <c r="A574" s="123" t="s">
        <v>1951</v>
      </c>
      <c r="B574" s="124">
        <v>21.44</v>
      </c>
      <c r="C574" s="125" t="s">
        <v>1952</v>
      </c>
      <c r="D574" s="127" t="s">
        <v>1158</v>
      </c>
      <c r="E574" s="128" t="s">
        <v>1953</v>
      </c>
      <c r="F574" s="126">
        <v>46353</v>
      </c>
      <c r="G574" s="126">
        <v>46359</v>
      </c>
      <c r="H574" s="129" t="s">
        <v>1954</v>
      </c>
      <c r="I574" s="130" t="s">
        <v>1896</v>
      </c>
      <c r="J574" s="123" t="s">
        <v>1697</v>
      </c>
      <c r="K574" s="12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spans="1:26" ht="19.5" customHeight="1">
      <c r="A575" s="123" t="s">
        <v>1955</v>
      </c>
      <c r="B575" s="124" t="s">
        <v>1956</v>
      </c>
      <c r="C575" s="125" t="s">
        <v>1957</v>
      </c>
      <c r="D575" s="127" t="s">
        <v>255</v>
      </c>
      <c r="E575" s="128" t="s">
        <v>1958</v>
      </c>
      <c r="F575" s="126">
        <v>46361</v>
      </c>
      <c r="G575" s="126">
        <v>46361</v>
      </c>
      <c r="H575" s="129" t="s">
        <v>1959</v>
      </c>
      <c r="I575" s="130" t="s">
        <v>1951</v>
      </c>
      <c r="J575" s="123" t="s">
        <v>1710</v>
      </c>
      <c r="K575" s="12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spans="1:26" ht="19.5" customHeight="1">
      <c r="A576" s="123" t="s">
        <v>1960</v>
      </c>
      <c r="B576" s="124">
        <v>21.45</v>
      </c>
      <c r="C576" s="125" t="s">
        <v>1961</v>
      </c>
      <c r="D576" s="127" t="s">
        <v>221</v>
      </c>
      <c r="E576" s="128" t="s">
        <v>1962</v>
      </c>
      <c r="F576" s="126">
        <v>46341</v>
      </c>
      <c r="G576" s="126">
        <v>46343</v>
      </c>
      <c r="H576" s="129" t="s">
        <v>1946</v>
      </c>
      <c r="I576" s="130" t="s">
        <v>1947</v>
      </c>
      <c r="J576" s="123" t="s">
        <v>1697</v>
      </c>
      <c r="K576" s="12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spans="1:26" ht="21.75" customHeight="1">
      <c r="A577" s="123" t="s">
        <v>1963</v>
      </c>
      <c r="B577" s="124">
        <v>21.46</v>
      </c>
      <c r="C577" s="125" t="s">
        <v>1964</v>
      </c>
      <c r="D577" s="127" t="s">
        <v>255</v>
      </c>
      <c r="E577" s="128" t="s">
        <v>1965</v>
      </c>
      <c r="F577" s="126">
        <v>46348</v>
      </c>
      <c r="G577" s="126">
        <v>46348</v>
      </c>
      <c r="H577" s="129" t="s">
        <v>1256</v>
      </c>
      <c r="I577" s="130" t="s">
        <v>1966</v>
      </c>
      <c r="J577" s="123" t="s">
        <v>1697</v>
      </c>
      <c r="K577" s="123"/>
    </row>
    <row r="578" spans="1:26" ht="13.5" customHeight="1">
      <c r="A578" s="123" t="s">
        <v>1967</v>
      </c>
      <c r="B578" s="124">
        <v>21.47</v>
      </c>
      <c r="C578" s="125" t="s">
        <v>1968</v>
      </c>
      <c r="D578" s="127" t="s">
        <v>255</v>
      </c>
      <c r="E578" s="128" t="s">
        <v>1969</v>
      </c>
      <c r="F578" s="126">
        <v>46346</v>
      </c>
      <c r="G578" s="126">
        <v>46346</v>
      </c>
      <c r="H578" s="129" t="s">
        <v>1248</v>
      </c>
      <c r="I578" s="130" t="s">
        <v>1903</v>
      </c>
      <c r="J578" s="123" t="s">
        <v>1697</v>
      </c>
      <c r="K578" s="123"/>
    </row>
    <row r="579" spans="1:26" ht="27.75" customHeight="1">
      <c r="A579" s="123" t="s">
        <v>1970</v>
      </c>
      <c r="B579" s="124" t="s">
        <v>1971</v>
      </c>
      <c r="C579" s="125" t="s">
        <v>1972</v>
      </c>
      <c r="D579" s="127" t="s">
        <v>235</v>
      </c>
      <c r="E579" s="128" t="s">
        <v>1973</v>
      </c>
      <c r="F579" s="126"/>
      <c r="G579" s="126"/>
      <c r="H579" s="129" t="s">
        <v>261</v>
      </c>
      <c r="I579" s="130" t="s">
        <v>1967</v>
      </c>
      <c r="J579" s="123" t="s">
        <v>1474</v>
      </c>
      <c r="K579" s="123"/>
    </row>
    <row r="580" spans="1:26" ht="19.5" customHeight="1">
      <c r="A580" s="131">
        <v>210</v>
      </c>
      <c r="B580" s="124">
        <v>21.48</v>
      </c>
      <c r="C580" s="125" t="s">
        <v>1974</v>
      </c>
      <c r="D580" s="127" t="s">
        <v>221</v>
      </c>
      <c r="E580" s="128" t="s">
        <v>1975</v>
      </c>
      <c r="F580" s="126">
        <v>46320</v>
      </c>
      <c r="G580" s="126">
        <v>46322</v>
      </c>
      <c r="H580" s="129" t="s">
        <v>1976</v>
      </c>
      <c r="I580" s="130" t="s">
        <v>1970</v>
      </c>
      <c r="J580" s="123" t="s">
        <v>1697</v>
      </c>
      <c r="K580" s="12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spans="1:26" ht="19.5" customHeight="1">
      <c r="A581" s="132" t="s">
        <v>1977</v>
      </c>
      <c r="B581" s="133" t="s">
        <v>1978</v>
      </c>
      <c r="C581" s="125" t="s">
        <v>1979</v>
      </c>
      <c r="D581" s="127" t="s">
        <v>226</v>
      </c>
      <c r="E581" s="128" t="s">
        <v>1980</v>
      </c>
      <c r="F581" s="126">
        <v>46323</v>
      </c>
      <c r="G581" s="126">
        <v>46324</v>
      </c>
      <c r="H581" s="129" t="s">
        <v>1680</v>
      </c>
      <c r="I581" s="130">
        <v>210</v>
      </c>
      <c r="J581" s="123" t="s">
        <v>1697</v>
      </c>
      <c r="K581" s="12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spans="1:26" ht="19.5" customHeight="1">
      <c r="A582" s="132" t="s">
        <v>1981</v>
      </c>
      <c r="B582" s="133" t="s">
        <v>1982</v>
      </c>
      <c r="C582" s="125" t="s">
        <v>1983</v>
      </c>
      <c r="D582" s="127" t="s">
        <v>226</v>
      </c>
      <c r="E582" s="128" t="s">
        <v>1984</v>
      </c>
      <c r="F582" s="126">
        <v>46325</v>
      </c>
      <c r="G582" s="126">
        <v>46326</v>
      </c>
      <c r="H582" s="129" t="s">
        <v>261</v>
      </c>
      <c r="I582" s="130">
        <v>2100</v>
      </c>
      <c r="J582" s="123" t="s">
        <v>1697</v>
      </c>
      <c r="K582" s="12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spans="1:26" ht="21.75" customHeight="1">
      <c r="A583" s="132" t="s">
        <v>1985</v>
      </c>
      <c r="B583" s="133" t="s">
        <v>1986</v>
      </c>
      <c r="C583" s="125" t="s">
        <v>1987</v>
      </c>
      <c r="D583" s="127" t="s">
        <v>255</v>
      </c>
      <c r="E583" s="128" t="s">
        <v>1988</v>
      </c>
      <c r="F583" s="126">
        <v>46327</v>
      </c>
      <c r="G583" s="126">
        <v>46327</v>
      </c>
      <c r="H583" s="129" t="s">
        <v>184</v>
      </c>
      <c r="I583" s="130">
        <v>21000</v>
      </c>
      <c r="J583" s="123" t="s">
        <v>1697</v>
      </c>
      <c r="K583" s="123"/>
    </row>
    <row r="584" spans="1:26" ht="27.75" customHeight="1">
      <c r="A584" s="123" t="s">
        <v>1989</v>
      </c>
      <c r="B584" s="124" t="s">
        <v>1990</v>
      </c>
      <c r="C584" s="125" t="s">
        <v>1991</v>
      </c>
      <c r="D584" s="127" t="s">
        <v>235</v>
      </c>
      <c r="E584" s="128" t="s">
        <v>1992</v>
      </c>
      <c r="F584" s="126"/>
      <c r="G584" s="126"/>
      <c r="H584" s="129" t="s">
        <v>261</v>
      </c>
      <c r="I584" s="130">
        <v>210000</v>
      </c>
      <c r="J584" s="123" t="s">
        <v>1474</v>
      </c>
      <c r="K584" s="123"/>
    </row>
    <row r="585" spans="1:26" ht="26.25" customHeight="1">
      <c r="A585" s="123"/>
      <c r="B585" s="124"/>
      <c r="C585" s="125" t="s">
        <v>1993</v>
      </c>
      <c r="D585" s="127"/>
      <c r="E585" s="128"/>
      <c r="F585" s="126"/>
      <c r="G585" s="126"/>
      <c r="H585" s="129"/>
      <c r="I585" s="130"/>
      <c r="J585" s="123"/>
      <c r="K585" s="123"/>
    </row>
    <row r="586" spans="1:26" ht="26.25" customHeight="1">
      <c r="A586" s="123"/>
      <c r="B586" s="124"/>
      <c r="C586" s="125"/>
      <c r="D586" s="127"/>
      <c r="E586" s="128"/>
      <c r="F586" s="126"/>
      <c r="G586" s="126"/>
      <c r="H586" s="129"/>
      <c r="I586" s="130"/>
      <c r="J586" s="123"/>
      <c r="K586" s="123"/>
    </row>
    <row r="587" spans="1:26" ht="26.25" customHeight="1">
      <c r="A587" s="132" t="s">
        <v>1994</v>
      </c>
      <c r="B587" s="133" t="s">
        <v>1994</v>
      </c>
      <c r="C587" s="125" t="s">
        <v>1690</v>
      </c>
      <c r="D587" s="127"/>
      <c r="E587" s="128"/>
      <c r="F587" s="126"/>
      <c r="G587" s="126"/>
      <c r="H587" s="129"/>
      <c r="I587" s="130"/>
      <c r="J587" s="123"/>
      <c r="K587" s="123"/>
    </row>
    <row r="588" spans="1:26" ht="26.25" customHeight="1">
      <c r="A588" s="132" t="s">
        <v>1995</v>
      </c>
      <c r="B588" s="133" t="s">
        <v>1996</v>
      </c>
      <c r="C588" s="125" t="s">
        <v>1997</v>
      </c>
      <c r="D588" s="127" t="s">
        <v>1700</v>
      </c>
      <c r="E588" s="128" t="s">
        <v>1998</v>
      </c>
      <c r="F588" s="126">
        <v>46407</v>
      </c>
      <c r="G588" s="126">
        <v>46476</v>
      </c>
      <c r="H588" s="129" t="s">
        <v>184</v>
      </c>
      <c r="I588" s="130" t="s">
        <v>1336</v>
      </c>
      <c r="J588" s="123" t="s">
        <v>1710</v>
      </c>
      <c r="K588" s="123"/>
    </row>
    <row r="589" spans="1:26" ht="26.25" customHeight="1">
      <c r="A589" s="132" t="s">
        <v>1994</v>
      </c>
      <c r="B589" s="133" t="s">
        <v>1994</v>
      </c>
      <c r="C589" s="125" t="s">
        <v>1999</v>
      </c>
      <c r="D589" s="127"/>
      <c r="E589" s="128"/>
      <c r="F589" s="126"/>
      <c r="G589" s="126"/>
      <c r="H589" s="129"/>
      <c r="I589" s="130"/>
      <c r="J589" s="123"/>
      <c r="K589" s="123"/>
    </row>
    <row r="590" spans="1:26" ht="26.25" customHeight="1">
      <c r="A590" s="132" t="s">
        <v>2000</v>
      </c>
      <c r="B590" s="133" t="s">
        <v>2001</v>
      </c>
      <c r="C590" s="125" t="s">
        <v>2002</v>
      </c>
      <c r="D590" s="127" t="s">
        <v>1131</v>
      </c>
      <c r="E590" s="128" t="s">
        <v>2003</v>
      </c>
      <c r="F590" s="126">
        <v>46407</v>
      </c>
      <c r="G590" s="126">
        <v>46452</v>
      </c>
      <c r="H590" s="129" t="s">
        <v>265</v>
      </c>
      <c r="I590" s="130" t="s">
        <v>1995</v>
      </c>
      <c r="J590" s="123" t="s">
        <v>1710</v>
      </c>
      <c r="K590" s="123"/>
    </row>
    <row r="591" spans="1:26" ht="26.25" customHeight="1">
      <c r="A591" s="132" t="s">
        <v>2004</v>
      </c>
      <c r="B591" s="133" t="s">
        <v>2005</v>
      </c>
      <c r="C591" s="125" t="s">
        <v>2006</v>
      </c>
      <c r="D591" s="127" t="s">
        <v>221</v>
      </c>
      <c r="E591" s="128" t="s">
        <v>2007</v>
      </c>
      <c r="F591" s="126">
        <v>46407</v>
      </c>
      <c r="G591" s="126">
        <v>46409</v>
      </c>
      <c r="H591" s="129" t="s">
        <v>2008</v>
      </c>
      <c r="I591" s="130" t="s">
        <v>2000</v>
      </c>
      <c r="J591" s="123" t="s">
        <v>1710</v>
      </c>
      <c r="K591" s="123"/>
    </row>
    <row r="592" spans="1:26" ht="26.25" customHeight="1">
      <c r="A592" s="132" t="s">
        <v>2009</v>
      </c>
      <c r="B592" s="133" t="s">
        <v>2010</v>
      </c>
      <c r="C592" s="125" t="s">
        <v>2011</v>
      </c>
      <c r="D592" s="127" t="s">
        <v>255</v>
      </c>
      <c r="E592" s="128" t="s">
        <v>2012</v>
      </c>
      <c r="F592" s="126">
        <v>46407</v>
      </c>
      <c r="G592" s="126">
        <v>46407</v>
      </c>
      <c r="H592" s="129" t="s">
        <v>2013</v>
      </c>
      <c r="I592" s="130" t="s">
        <v>2000</v>
      </c>
      <c r="J592" s="123" t="s">
        <v>1710</v>
      </c>
      <c r="K592" s="123"/>
    </row>
    <row r="593" spans="1:11" ht="26.25" customHeight="1">
      <c r="A593" s="132" t="s">
        <v>2014</v>
      </c>
      <c r="B593" s="133" t="s">
        <v>2015</v>
      </c>
      <c r="C593" s="125" t="s">
        <v>2016</v>
      </c>
      <c r="D593" s="127" t="s">
        <v>221</v>
      </c>
      <c r="E593" s="128" t="s">
        <v>2017</v>
      </c>
      <c r="F593" s="126">
        <v>46408</v>
      </c>
      <c r="G593" s="126">
        <v>46410</v>
      </c>
      <c r="H593" s="129" t="s">
        <v>2018</v>
      </c>
      <c r="I593" s="130" t="s">
        <v>2009</v>
      </c>
      <c r="J593" s="123" t="s">
        <v>1710</v>
      </c>
      <c r="K593" s="123"/>
    </row>
    <row r="594" spans="1:11" ht="26.25" customHeight="1">
      <c r="A594" s="132" t="s">
        <v>2019</v>
      </c>
      <c r="B594" s="133" t="s">
        <v>2020</v>
      </c>
      <c r="C594" s="125" t="s">
        <v>2021</v>
      </c>
      <c r="D594" s="127" t="s">
        <v>221</v>
      </c>
      <c r="E594" s="128" t="s">
        <v>2022</v>
      </c>
      <c r="F594" s="126">
        <v>46411</v>
      </c>
      <c r="G594" s="126">
        <v>46413</v>
      </c>
      <c r="H594" s="129" t="s">
        <v>2018</v>
      </c>
      <c r="I594" s="130" t="s">
        <v>2014</v>
      </c>
      <c r="J594" s="123" t="s">
        <v>1710</v>
      </c>
      <c r="K594" s="123"/>
    </row>
    <row r="595" spans="1:11" ht="26.25" customHeight="1">
      <c r="A595" s="132" t="s">
        <v>2023</v>
      </c>
      <c r="B595" s="133" t="s">
        <v>2024</v>
      </c>
      <c r="C595" s="125" t="s">
        <v>2025</v>
      </c>
      <c r="D595" s="127" t="s">
        <v>226</v>
      </c>
      <c r="E595" s="128" t="s">
        <v>2026</v>
      </c>
      <c r="F595" s="126">
        <v>46414</v>
      </c>
      <c r="G595" s="126">
        <v>46415</v>
      </c>
      <c r="H595" s="129" t="s">
        <v>2018</v>
      </c>
      <c r="I595" s="130" t="s">
        <v>2019</v>
      </c>
      <c r="J595" s="123" t="s">
        <v>1710</v>
      </c>
      <c r="K595" s="123"/>
    </row>
    <row r="596" spans="1:11" ht="21.75" customHeight="1">
      <c r="A596" s="132" t="s">
        <v>2027</v>
      </c>
      <c r="B596" s="133" t="s">
        <v>2028</v>
      </c>
      <c r="C596" s="125" t="s">
        <v>2029</v>
      </c>
      <c r="D596" s="127" t="s">
        <v>235</v>
      </c>
      <c r="E596" s="128" t="s">
        <v>2030</v>
      </c>
      <c r="F596" s="126">
        <v>46415</v>
      </c>
      <c r="G596" s="126">
        <v>46415</v>
      </c>
      <c r="H596" s="129" t="s">
        <v>261</v>
      </c>
      <c r="I596" s="130" t="s">
        <v>2023</v>
      </c>
      <c r="J596" s="123" t="s">
        <v>1474</v>
      </c>
      <c r="K596" s="123"/>
    </row>
    <row r="597" spans="1:11" ht="13.5" customHeight="1">
      <c r="A597" s="132" t="s">
        <v>2031</v>
      </c>
      <c r="B597" s="133" t="s">
        <v>2032</v>
      </c>
      <c r="C597" s="125" t="s">
        <v>2033</v>
      </c>
      <c r="D597" s="127" t="s">
        <v>221</v>
      </c>
      <c r="E597" s="128" t="s">
        <v>2034</v>
      </c>
      <c r="F597" s="126">
        <v>46416</v>
      </c>
      <c r="G597" s="126">
        <v>46418</v>
      </c>
      <c r="H597" s="129" t="s">
        <v>1248</v>
      </c>
      <c r="I597" s="130" t="s">
        <v>2027</v>
      </c>
      <c r="J597" s="123" t="s">
        <v>1710</v>
      </c>
      <c r="K597" s="123"/>
    </row>
    <row r="598" spans="1:11" ht="27.75" customHeight="1">
      <c r="A598" s="132" t="s">
        <v>2035</v>
      </c>
      <c r="B598" s="133" t="s">
        <v>2036</v>
      </c>
      <c r="C598" s="125" t="s">
        <v>2037</v>
      </c>
      <c r="D598" s="127" t="s">
        <v>226</v>
      </c>
      <c r="E598" s="128" t="s">
        <v>2038</v>
      </c>
      <c r="F598" s="126">
        <v>46419</v>
      </c>
      <c r="G598" s="126">
        <v>46420</v>
      </c>
      <c r="H598" s="129" t="s">
        <v>2039</v>
      </c>
      <c r="I598" s="130" t="s">
        <v>2031</v>
      </c>
      <c r="J598" s="123" t="s">
        <v>1710</v>
      </c>
      <c r="K598" s="123"/>
    </row>
    <row r="599" spans="1:11" ht="32.25" customHeight="1">
      <c r="A599" s="132" t="s">
        <v>2040</v>
      </c>
      <c r="B599" s="133" t="s">
        <v>2041</v>
      </c>
      <c r="C599" s="125" t="s">
        <v>2042</v>
      </c>
      <c r="D599" s="127" t="s">
        <v>226</v>
      </c>
      <c r="E599" s="128" t="s">
        <v>2043</v>
      </c>
      <c r="F599" s="126">
        <v>46421</v>
      </c>
      <c r="G599" s="126">
        <v>46422</v>
      </c>
      <c r="H599" s="129" t="s">
        <v>1248</v>
      </c>
      <c r="I599" s="130" t="s">
        <v>2035</v>
      </c>
      <c r="J599" s="123" t="s">
        <v>1710</v>
      </c>
      <c r="K599" s="123"/>
    </row>
    <row r="600" spans="1:11" ht="32.25" customHeight="1">
      <c r="A600" s="132" t="s">
        <v>2044</v>
      </c>
      <c r="B600" s="133" t="s">
        <v>2045</v>
      </c>
      <c r="C600" s="125" t="s">
        <v>2046</v>
      </c>
      <c r="D600" s="127" t="s">
        <v>226</v>
      </c>
      <c r="E600" s="128" t="s">
        <v>2047</v>
      </c>
      <c r="F600" s="126">
        <v>46423</v>
      </c>
      <c r="G600" s="126">
        <v>46424</v>
      </c>
      <c r="H600" s="129" t="s">
        <v>2048</v>
      </c>
      <c r="I600" s="130" t="s">
        <v>2040</v>
      </c>
      <c r="J600" s="123" t="s">
        <v>1710</v>
      </c>
      <c r="K600" s="123"/>
    </row>
    <row r="601" spans="1:11" ht="32.25" customHeight="1">
      <c r="A601" s="132" t="s">
        <v>2049</v>
      </c>
      <c r="B601" s="133" t="s">
        <v>2050</v>
      </c>
      <c r="C601" s="125" t="s">
        <v>2051</v>
      </c>
      <c r="D601" s="127" t="s">
        <v>235</v>
      </c>
      <c r="E601" s="128" t="s">
        <v>2052</v>
      </c>
      <c r="F601" s="126">
        <v>46424</v>
      </c>
      <c r="G601" s="126">
        <v>46424</v>
      </c>
      <c r="H601" s="129" t="s">
        <v>261</v>
      </c>
      <c r="I601" s="130" t="s">
        <v>2044</v>
      </c>
      <c r="J601" s="123" t="s">
        <v>1474</v>
      </c>
      <c r="K601" s="123"/>
    </row>
    <row r="602" spans="1:11" ht="32.25" customHeight="1">
      <c r="A602" s="132" t="s">
        <v>2053</v>
      </c>
      <c r="B602" s="133" t="s">
        <v>2054</v>
      </c>
      <c r="C602" s="125" t="s">
        <v>2055</v>
      </c>
      <c r="D602" s="127" t="s">
        <v>252</v>
      </c>
      <c r="E602" s="128" t="s">
        <v>2056</v>
      </c>
      <c r="F602" s="126">
        <v>46425</v>
      </c>
      <c r="G602" s="126">
        <v>46429</v>
      </c>
      <c r="H602" s="129" t="s">
        <v>1248</v>
      </c>
      <c r="I602" s="130" t="s">
        <v>2049</v>
      </c>
      <c r="J602" s="123" t="s">
        <v>1710</v>
      </c>
      <c r="K602" s="123"/>
    </row>
    <row r="603" spans="1:11" ht="32.25" customHeight="1">
      <c r="A603" s="132" t="s">
        <v>2057</v>
      </c>
      <c r="B603" s="133" t="s">
        <v>2058</v>
      </c>
      <c r="C603" s="125" t="s">
        <v>2059</v>
      </c>
      <c r="D603" s="127" t="s">
        <v>252</v>
      </c>
      <c r="E603" s="128" t="s">
        <v>2060</v>
      </c>
      <c r="F603" s="126">
        <v>46430</v>
      </c>
      <c r="G603" s="126">
        <v>46434</v>
      </c>
      <c r="H603" s="129" t="s">
        <v>2061</v>
      </c>
      <c r="I603" s="130" t="s">
        <v>2053</v>
      </c>
      <c r="J603" s="123" t="s">
        <v>1710</v>
      </c>
      <c r="K603" s="123"/>
    </row>
    <row r="604" spans="1:11" ht="32.25" customHeight="1">
      <c r="A604" s="132" t="s">
        <v>2062</v>
      </c>
      <c r="B604" s="133" t="s">
        <v>2063</v>
      </c>
      <c r="C604" s="125" t="s">
        <v>2064</v>
      </c>
      <c r="D604" s="127" t="s">
        <v>226</v>
      </c>
      <c r="E604" s="128" t="s">
        <v>2065</v>
      </c>
      <c r="F604" s="126">
        <v>46435</v>
      </c>
      <c r="G604" s="126">
        <v>46436</v>
      </c>
      <c r="H604" s="129" t="s">
        <v>2048</v>
      </c>
      <c r="I604" s="130" t="s">
        <v>2057</v>
      </c>
      <c r="J604" s="123" t="s">
        <v>1710</v>
      </c>
      <c r="K604" s="123"/>
    </row>
    <row r="605" spans="1:11" ht="32.25" customHeight="1">
      <c r="A605" s="132" t="s">
        <v>2066</v>
      </c>
      <c r="B605" s="133" t="s">
        <v>2067</v>
      </c>
      <c r="C605" s="125" t="s">
        <v>2068</v>
      </c>
      <c r="D605" s="127" t="s">
        <v>235</v>
      </c>
      <c r="E605" s="128" t="s">
        <v>2069</v>
      </c>
      <c r="F605" s="126">
        <v>46436</v>
      </c>
      <c r="G605" s="126">
        <v>46436</v>
      </c>
      <c r="H605" s="129" t="s">
        <v>261</v>
      </c>
      <c r="I605" s="130" t="s">
        <v>2062</v>
      </c>
      <c r="J605" s="123" t="s">
        <v>1474</v>
      </c>
      <c r="K605" s="123"/>
    </row>
    <row r="606" spans="1:11" ht="32.25" customHeight="1">
      <c r="A606" s="132" t="s">
        <v>2070</v>
      </c>
      <c r="B606" s="133" t="s">
        <v>2071</v>
      </c>
      <c r="C606" s="125" t="s">
        <v>2072</v>
      </c>
      <c r="D606" s="127" t="s">
        <v>226</v>
      </c>
      <c r="E606" s="128" t="s">
        <v>2073</v>
      </c>
      <c r="F606" s="126">
        <v>46437</v>
      </c>
      <c r="G606" s="126">
        <v>46438</v>
      </c>
      <c r="H606" s="129" t="s">
        <v>2008</v>
      </c>
      <c r="I606" s="130" t="s">
        <v>2066</v>
      </c>
      <c r="J606" s="123" t="s">
        <v>1710</v>
      </c>
      <c r="K606" s="123"/>
    </row>
    <row r="607" spans="1:11" ht="32.25" customHeight="1">
      <c r="A607" s="132" t="s">
        <v>2074</v>
      </c>
      <c r="B607" s="133" t="s">
        <v>2075</v>
      </c>
      <c r="C607" s="125" t="s">
        <v>2076</v>
      </c>
      <c r="D607" s="127" t="s">
        <v>221</v>
      </c>
      <c r="E607" s="128" t="s">
        <v>2077</v>
      </c>
      <c r="F607" s="126">
        <v>46439</v>
      </c>
      <c r="G607" s="126">
        <v>46441</v>
      </c>
      <c r="H607" s="129" t="s">
        <v>1248</v>
      </c>
      <c r="I607" s="130" t="s">
        <v>2070</v>
      </c>
      <c r="J607" s="123" t="s">
        <v>1710</v>
      </c>
      <c r="K607" s="123"/>
    </row>
    <row r="608" spans="1:11" ht="32.25" customHeight="1">
      <c r="A608" s="132" t="s">
        <v>2078</v>
      </c>
      <c r="B608" s="133" t="s">
        <v>2079</v>
      </c>
      <c r="C608" s="125" t="s">
        <v>2080</v>
      </c>
      <c r="D608" s="127" t="s">
        <v>252</v>
      </c>
      <c r="E608" s="128" t="s">
        <v>2081</v>
      </c>
      <c r="F608" s="126">
        <v>46442</v>
      </c>
      <c r="G608" s="126">
        <v>46445</v>
      </c>
      <c r="H608" s="129" t="s">
        <v>2061</v>
      </c>
      <c r="I608" s="130" t="s">
        <v>2074</v>
      </c>
      <c r="J608" s="123" t="s">
        <v>1710</v>
      </c>
      <c r="K608" s="123"/>
    </row>
    <row r="609" spans="1:11" ht="21.75" customHeight="1">
      <c r="A609" s="132" t="s">
        <v>2082</v>
      </c>
      <c r="B609" s="133" t="s">
        <v>2083</v>
      </c>
      <c r="C609" s="125" t="s">
        <v>2084</v>
      </c>
      <c r="D609" s="127" t="s">
        <v>255</v>
      </c>
      <c r="E609" s="128" t="s">
        <v>2085</v>
      </c>
      <c r="F609" s="126">
        <v>46446</v>
      </c>
      <c r="G609" s="126">
        <v>46446</v>
      </c>
      <c r="H609" s="129" t="s">
        <v>2013</v>
      </c>
      <c r="I609" s="130" t="s">
        <v>2078</v>
      </c>
      <c r="J609" s="123" t="s">
        <v>1710</v>
      </c>
      <c r="K609" s="123"/>
    </row>
    <row r="610" spans="1:11" ht="13.5" customHeight="1">
      <c r="A610" s="132" t="s">
        <v>2086</v>
      </c>
      <c r="B610" s="133" t="s">
        <v>2087</v>
      </c>
      <c r="C610" s="125" t="s">
        <v>2088</v>
      </c>
      <c r="D610" s="127" t="s">
        <v>221</v>
      </c>
      <c r="E610" s="128" t="s">
        <v>2089</v>
      </c>
      <c r="F610" s="126">
        <v>46447</v>
      </c>
      <c r="G610" s="126">
        <v>46450</v>
      </c>
      <c r="H610" s="129" t="s">
        <v>2090</v>
      </c>
      <c r="I610" s="130" t="s">
        <v>2082</v>
      </c>
      <c r="J610" s="123" t="s">
        <v>1710</v>
      </c>
      <c r="K610" s="123"/>
    </row>
    <row r="611" spans="1:11" ht="27.75" customHeight="1">
      <c r="A611" s="132" t="s">
        <v>2091</v>
      </c>
      <c r="B611" s="133" t="s">
        <v>2092</v>
      </c>
      <c r="C611" s="125" t="s">
        <v>2093</v>
      </c>
      <c r="D611" s="127" t="s">
        <v>235</v>
      </c>
      <c r="E611" s="128" t="s">
        <v>2094</v>
      </c>
      <c r="F611" s="126">
        <v>46450</v>
      </c>
      <c r="G611" s="126">
        <v>46450</v>
      </c>
      <c r="H611" s="129" t="s">
        <v>2095</v>
      </c>
      <c r="I611" s="130" t="s">
        <v>2086</v>
      </c>
      <c r="J611" s="123" t="s">
        <v>1474</v>
      </c>
      <c r="K611" s="123"/>
    </row>
    <row r="612" spans="1:11" ht="25.5" customHeight="1">
      <c r="A612" s="132" t="s">
        <v>1994</v>
      </c>
      <c r="B612" s="133" t="s">
        <v>1994</v>
      </c>
      <c r="C612" s="125" t="s">
        <v>2096</v>
      </c>
      <c r="D612" s="127"/>
      <c r="E612" s="128"/>
      <c r="F612" s="126"/>
      <c r="G612" s="126"/>
      <c r="H612" s="129"/>
      <c r="I612" s="130"/>
      <c r="J612" s="123"/>
      <c r="K612" s="123"/>
    </row>
    <row r="613" spans="1:11" ht="25.5" customHeight="1">
      <c r="A613" s="132" t="s">
        <v>2097</v>
      </c>
      <c r="B613" s="133" t="s">
        <v>2098</v>
      </c>
      <c r="C613" s="125" t="s">
        <v>2099</v>
      </c>
      <c r="D613" s="127" t="s">
        <v>2100</v>
      </c>
      <c r="E613" s="128" t="s">
        <v>2101</v>
      </c>
      <c r="F613" s="126">
        <v>46407</v>
      </c>
      <c r="G613" s="126">
        <v>46458</v>
      </c>
      <c r="H613" s="129" t="s">
        <v>2102</v>
      </c>
      <c r="I613" s="130" t="s">
        <v>1995</v>
      </c>
      <c r="J613" s="123" t="s">
        <v>1710</v>
      </c>
      <c r="K613" s="123"/>
    </row>
    <row r="614" spans="1:11" ht="25.5" customHeight="1">
      <c r="A614" s="132" t="s">
        <v>2103</v>
      </c>
      <c r="B614" s="133" t="s">
        <v>2104</v>
      </c>
      <c r="C614" s="125" t="s">
        <v>2105</v>
      </c>
      <c r="D614" s="127" t="s">
        <v>221</v>
      </c>
      <c r="E614" s="128" t="s">
        <v>2106</v>
      </c>
      <c r="F614" s="126">
        <v>46407</v>
      </c>
      <c r="G614" s="126">
        <v>46409</v>
      </c>
      <c r="H614" s="129" t="s">
        <v>2107</v>
      </c>
      <c r="I614" s="130" t="s">
        <v>2097</v>
      </c>
      <c r="J614" s="123" t="s">
        <v>1710</v>
      </c>
      <c r="K614" s="123"/>
    </row>
    <row r="615" spans="1:11" ht="25.5" customHeight="1">
      <c r="A615" s="132" t="s">
        <v>2108</v>
      </c>
      <c r="B615" s="133" t="s">
        <v>2109</v>
      </c>
      <c r="C615" s="125" t="s">
        <v>2110</v>
      </c>
      <c r="D615" s="127" t="s">
        <v>226</v>
      </c>
      <c r="E615" s="128" t="s">
        <v>2111</v>
      </c>
      <c r="F615" s="126">
        <v>46407</v>
      </c>
      <c r="G615" s="126">
        <v>46408</v>
      </c>
      <c r="H615" s="129" t="s">
        <v>2112</v>
      </c>
      <c r="I615" s="130" t="s">
        <v>2103</v>
      </c>
      <c r="J615" s="123" t="s">
        <v>1710</v>
      </c>
      <c r="K615" s="123"/>
    </row>
    <row r="616" spans="1:11" ht="25.5" customHeight="1">
      <c r="A616" s="132" t="s">
        <v>2113</v>
      </c>
      <c r="B616" s="133" t="s">
        <v>2114</v>
      </c>
      <c r="C616" s="125" t="s">
        <v>2115</v>
      </c>
      <c r="D616" s="127" t="s">
        <v>221</v>
      </c>
      <c r="E616" s="128" t="s">
        <v>2116</v>
      </c>
      <c r="F616" s="126">
        <v>46409</v>
      </c>
      <c r="G616" s="126">
        <v>46411</v>
      </c>
      <c r="H616" s="129" t="s">
        <v>2018</v>
      </c>
      <c r="I616" s="130" t="s">
        <v>2108</v>
      </c>
      <c r="J616" s="123" t="s">
        <v>1710</v>
      </c>
      <c r="K616" s="123"/>
    </row>
    <row r="617" spans="1:11" ht="25.5" customHeight="1">
      <c r="A617" s="132" t="s">
        <v>2117</v>
      </c>
      <c r="B617" s="133" t="s">
        <v>2118</v>
      </c>
      <c r="C617" s="125" t="s">
        <v>2119</v>
      </c>
      <c r="D617" s="127" t="s">
        <v>235</v>
      </c>
      <c r="E617" s="128" t="s">
        <v>2120</v>
      </c>
      <c r="F617" s="126">
        <v>46411</v>
      </c>
      <c r="G617" s="126">
        <v>46411</v>
      </c>
      <c r="H617" s="129" t="s">
        <v>2121</v>
      </c>
      <c r="I617" s="130" t="s">
        <v>2113</v>
      </c>
      <c r="J617" s="123" t="s">
        <v>1474</v>
      </c>
      <c r="K617" s="123"/>
    </row>
    <row r="618" spans="1:11" ht="25.5" customHeight="1">
      <c r="A618" s="132" t="s">
        <v>2122</v>
      </c>
      <c r="B618" s="133" t="s">
        <v>2123</v>
      </c>
      <c r="C618" s="125" t="s">
        <v>2124</v>
      </c>
      <c r="D618" s="127" t="s">
        <v>252</v>
      </c>
      <c r="E618" s="128" t="s">
        <v>2125</v>
      </c>
      <c r="F618" s="126">
        <v>46412</v>
      </c>
      <c r="G618" s="126">
        <v>46415</v>
      </c>
      <c r="H618" s="129" t="s">
        <v>1398</v>
      </c>
      <c r="I618" s="130" t="s">
        <v>2117</v>
      </c>
      <c r="J618" s="123" t="s">
        <v>1710</v>
      </c>
      <c r="K618" s="123"/>
    </row>
    <row r="619" spans="1:11" ht="19.5" customHeight="1">
      <c r="A619" s="132" t="s">
        <v>2126</v>
      </c>
      <c r="B619" s="133" t="s">
        <v>2127</v>
      </c>
      <c r="C619" s="125" t="s">
        <v>2128</v>
      </c>
      <c r="D619" s="127" t="s">
        <v>221</v>
      </c>
      <c r="E619" s="128" t="s">
        <v>2129</v>
      </c>
      <c r="F619" s="126">
        <v>46416</v>
      </c>
      <c r="G619" s="126">
        <v>46418</v>
      </c>
      <c r="H619" s="129" t="s">
        <v>2130</v>
      </c>
      <c r="I619" s="130" t="s">
        <v>2122</v>
      </c>
      <c r="J619" s="123" t="s">
        <v>1710</v>
      </c>
      <c r="K619" s="123"/>
    </row>
    <row r="620" spans="1:11" ht="25.5" customHeight="1">
      <c r="A620" s="132" t="s">
        <v>2131</v>
      </c>
      <c r="B620" s="133" t="s">
        <v>2132</v>
      </c>
      <c r="C620" s="125" t="s">
        <v>2133</v>
      </c>
      <c r="D620" s="127" t="s">
        <v>226</v>
      </c>
      <c r="E620" s="128" t="s">
        <v>2134</v>
      </c>
      <c r="F620" s="126">
        <v>46416</v>
      </c>
      <c r="G620" s="126">
        <v>46417</v>
      </c>
      <c r="H620" s="129" t="s">
        <v>1398</v>
      </c>
      <c r="I620" s="130" t="s">
        <v>2126</v>
      </c>
      <c r="J620" s="123" t="s">
        <v>1710</v>
      </c>
      <c r="K620" s="123"/>
    </row>
    <row r="621" spans="1:11" ht="25.5" customHeight="1">
      <c r="A621" s="132" t="s">
        <v>2135</v>
      </c>
      <c r="B621" s="133" t="s">
        <v>2136</v>
      </c>
      <c r="C621" s="125" t="s">
        <v>2137</v>
      </c>
      <c r="D621" s="127" t="s">
        <v>221</v>
      </c>
      <c r="E621" s="128" t="s">
        <v>2138</v>
      </c>
      <c r="F621" s="126">
        <v>46419</v>
      </c>
      <c r="G621" s="126">
        <v>46421</v>
      </c>
      <c r="H621" s="129" t="s">
        <v>2139</v>
      </c>
      <c r="I621" s="130" t="s">
        <v>2131</v>
      </c>
      <c r="J621" s="123" t="s">
        <v>1710</v>
      </c>
      <c r="K621" s="123"/>
    </row>
    <row r="622" spans="1:11" ht="21.75" customHeight="1">
      <c r="A622" s="132" t="s">
        <v>2140</v>
      </c>
      <c r="B622" s="133" t="s">
        <v>2141</v>
      </c>
      <c r="C622" s="125" t="s">
        <v>2142</v>
      </c>
      <c r="D622" s="127" t="s">
        <v>226</v>
      </c>
      <c r="E622" s="128" t="s">
        <v>2143</v>
      </c>
      <c r="F622" s="126">
        <v>46422</v>
      </c>
      <c r="G622" s="126">
        <v>46423</v>
      </c>
      <c r="H622" s="129" t="s">
        <v>1398</v>
      </c>
      <c r="I622" s="130" t="s">
        <v>2135</v>
      </c>
      <c r="J622" s="123" t="s">
        <v>1710</v>
      </c>
      <c r="K622" s="123"/>
    </row>
    <row r="623" spans="1:11" ht="13.5" customHeight="1">
      <c r="A623" s="132" t="s">
        <v>2144</v>
      </c>
      <c r="B623" s="133" t="s">
        <v>2145</v>
      </c>
      <c r="C623" s="125" t="s">
        <v>2146</v>
      </c>
      <c r="D623" s="127" t="s">
        <v>235</v>
      </c>
      <c r="E623" s="128" t="s">
        <v>2147</v>
      </c>
      <c r="F623" s="126">
        <v>46423</v>
      </c>
      <c r="G623" s="126">
        <v>46423</v>
      </c>
      <c r="H623" s="129" t="s">
        <v>2148</v>
      </c>
      <c r="I623" s="130" t="s">
        <v>2140</v>
      </c>
      <c r="J623" s="123" t="s">
        <v>1474</v>
      </c>
      <c r="K623" s="123"/>
    </row>
    <row r="624" spans="1:11" ht="27.75" customHeight="1">
      <c r="A624" s="132" t="s">
        <v>2149</v>
      </c>
      <c r="B624" s="133" t="s">
        <v>2150</v>
      </c>
      <c r="C624" s="125" t="s">
        <v>2151</v>
      </c>
      <c r="D624" s="127" t="s">
        <v>221</v>
      </c>
      <c r="E624" s="128" t="s">
        <v>2152</v>
      </c>
      <c r="F624" s="126">
        <v>46424</v>
      </c>
      <c r="G624" s="126">
        <v>46426</v>
      </c>
      <c r="H624" s="129" t="s">
        <v>2153</v>
      </c>
      <c r="I624" s="130" t="s">
        <v>2144</v>
      </c>
      <c r="J624" s="123" t="s">
        <v>1710</v>
      </c>
      <c r="K624" s="123"/>
    </row>
    <row r="625" spans="1:11" ht="28.5" customHeight="1">
      <c r="A625" s="132" t="s">
        <v>2154</v>
      </c>
      <c r="B625" s="133" t="s">
        <v>2155</v>
      </c>
      <c r="C625" s="125" t="s">
        <v>2156</v>
      </c>
      <c r="D625" s="127" t="s">
        <v>221</v>
      </c>
      <c r="E625" s="128" t="s">
        <v>2157</v>
      </c>
      <c r="F625" s="126">
        <v>46427</v>
      </c>
      <c r="G625" s="126">
        <v>46429</v>
      </c>
      <c r="H625" s="129" t="s">
        <v>2158</v>
      </c>
      <c r="I625" s="130" t="s">
        <v>2149</v>
      </c>
      <c r="J625" s="123" t="s">
        <v>1710</v>
      </c>
      <c r="K625" s="123"/>
    </row>
    <row r="626" spans="1:11" ht="28.5" customHeight="1">
      <c r="A626" s="132" t="s">
        <v>2159</v>
      </c>
      <c r="B626" s="133" t="s">
        <v>2160</v>
      </c>
      <c r="C626" s="125" t="s">
        <v>2161</v>
      </c>
      <c r="D626" s="127" t="s">
        <v>226</v>
      </c>
      <c r="E626" s="128" t="s">
        <v>2162</v>
      </c>
      <c r="F626" s="126">
        <v>46430</v>
      </c>
      <c r="G626" s="126">
        <v>46431</v>
      </c>
      <c r="H626" s="129" t="s">
        <v>2163</v>
      </c>
      <c r="I626" s="130" t="s">
        <v>2154</v>
      </c>
      <c r="J626" s="123" t="s">
        <v>1710</v>
      </c>
      <c r="K626" s="123"/>
    </row>
    <row r="627" spans="1:11" ht="28.5" customHeight="1">
      <c r="A627" s="132" t="s">
        <v>2164</v>
      </c>
      <c r="B627" s="133" t="s">
        <v>2165</v>
      </c>
      <c r="C627" s="125" t="s">
        <v>2166</v>
      </c>
      <c r="D627" s="127" t="s">
        <v>226</v>
      </c>
      <c r="E627" s="128" t="s">
        <v>2167</v>
      </c>
      <c r="F627" s="126">
        <v>46432</v>
      </c>
      <c r="G627" s="126">
        <v>46433</v>
      </c>
      <c r="H627" s="129" t="s">
        <v>2168</v>
      </c>
      <c r="I627" s="130" t="s">
        <v>2159</v>
      </c>
      <c r="J627" s="123" t="s">
        <v>1710</v>
      </c>
      <c r="K627" s="123"/>
    </row>
    <row r="628" spans="1:11" ht="28.5" customHeight="1">
      <c r="A628" s="132" t="s">
        <v>2169</v>
      </c>
      <c r="B628" s="133" t="s">
        <v>2170</v>
      </c>
      <c r="C628" s="125" t="s">
        <v>2171</v>
      </c>
      <c r="D628" s="127" t="s">
        <v>235</v>
      </c>
      <c r="E628" s="128" t="s">
        <v>2172</v>
      </c>
      <c r="F628" s="126">
        <v>46433</v>
      </c>
      <c r="G628" s="126">
        <v>46433</v>
      </c>
      <c r="H628" s="129" t="s">
        <v>2173</v>
      </c>
      <c r="I628" s="130" t="s">
        <v>2164</v>
      </c>
      <c r="J628" s="123" t="s">
        <v>1474</v>
      </c>
      <c r="K628" s="123"/>
    </row>
    <row r="629" spans="1:11" ht="28.5" customHeight="1">
      <c r="A629" s="132" t="s">
        <v>2174</v>
      </c>
      <c r="B629" s="133" t="s">
        <v>2175</v>
      </c>
      <c r="C629" s="125" t="s">
        <v>2176</v>
      </c>
      <c r="D629" s="127" t="s">
        <v>226</v>
      </c>
      <c r="E629" s="128" t="s">
        <v>2177</v>
      </c>
      <c r="F629" s="126">
        <v>46434</v>
      </c>
      <c r="G629" s="126">
        <v>46435</v>
      </c>
      <c r="H629" s="129" t="s">
        <v>2178</v>
      </c>
      <c r="I629" s="130" t="s">
        <v>2169</v>
      </c>
      <c r="J629" s="123" t="s">
        <v>1710</v>
      </c>
      <c r="K629" s="123"/>
    </row>
    <row r="630" spans="1:11" ht="28.5" customHeight="1">
      <c r="A630" s="132" t="s">
        <v>2179</v>
      </c>
      <c r="B630" s="133" t="s">
        <v>2180</v>
      </c>
      <c r="C630" s="125" t="s">
        <v>2181</v>
      </c>
      <c r="D630" s="127" t="s">
        <v>221</v>
      </c>
      <c r="E630" s="128" t="s">
        <v>2182</v>
      </c>
      <c r="F630" s="126">
        <v>46436</v>
      </c>
      <c r="G630" s="126">
        <v>46438</v>
      </c>
      <c r="H630" s="129" t="s">
        <v>2183</v>
      </c>
      <c r="I630" s="130" t="s">
        <v>2174</v>
      </c>
      <c r="J630" s="123" t="s">
        <v>1710</v>
      </c>
      <c r="K630" s="123"/>
    </row>
    <row r="631" spans="1:11" ht="28.5" customHeight="1">
      <c r="A631" s="132" t="s">
        <v>2184</v>
      </c>
      <c r="B631" s="133" t="s">
        <v>2185</v>
      </c>
      <c r="C631" s="125" t="s">
        <v>2186</v>
      </c>
      <c r="D631" s="127" t="s">
        <v>221</v>
      </c>
      <c r="E631" s="128" t="s">
        <v>2187</v>
      </c>
      <c r="F631" s="126">
        <v>46439</v>
      </c>
      <c r="G631" s="126">
        <v>46441</v>
      </c>
      <c r="H631" s="129" t="s">
        <v>273</v>
      </c>
      <c r="I631" s="130" t="s">
        <v>2179</v>
      </c>
      <c r="J631" s="123" t="s">
        <v>1710</v>
      </c>
      <c r="K631" s="123"/>
    </row>
    <row r="632" spans="1:11" ht="28.5" customHeight="1">
      <c r="A632" s="132" t="s">
        <v>2188</v>
      </c>
      <c r="B632" s="133" t="s">
        <v>2189</v>
      </c>
      <c r="C632" s="125" t="s">
        <v>2190</v>
      </c>
      <c r="D632" s="127" t="s">
        <v>255</v>
      </c>
      <c r="E632" s="128" t="s">
        <v>2191</v>
      </c>
      <c r="F632" s="126">
        <v>46442</v>
      </c>
      <c r="G632" s="126">
        <v>46442</v>
      </c>
      <c r="H632" s="129" t="s">
        <v>2192</v>
      </c>
      <c r="I632" s="130" t="s">
        <v>2184</v>
      </c>
      <c r="J632" s="123" t="s">
        <v>1710</v>
      </c>
      <c r="K632" s="123"/>
    </row>
    <row r="633" spans="1:11" ht="21.75" customHeight="1">
      <c r="A633" s="132" t="s">
        <v>2193</v>
      </c>
      <c r="B633" s="133" t="s">
        <v>2194</v>
      </c>
      <c r="C633" s="125" t="s">
        <v>2195</v>
      </c>
      <c r="D633" s="127" t="s">
        <v>226</v>
      </c>
      <c r="E633" s="128" t="s">
        <v>2196</v>
      </c>
      <c r="F633" s="126">
        <v>46443</v>
      </c>
      <c r="G633" s="126">
        <v>46444</v>
      </c>
      <c r="H633" s="129" t="s">
        <v>2197</v>
      </c>
      <c r="I633" s="130" t="s">
        <v>2188</v>
      </c>
      <c r="J633" s="123" t="s">
        <v>1710</v>
      </c>
      <c r="K633" s="123"/>
    </row>
    <row r="634" spans="1:11" ht="13.5" customHeight="1">
      <c r="A634" s="132" t="s">
        <v>2198</v>
      </c>
      <c r="B634" s="133" t="s">
        <v>2199</v>
      </c>
      <c r="C634" s="125" t="s">
        <v>2200</v>
      </c>
      <c r="D634" s="127" t="s">
        <v>252</v>
      </c>
      <c r="E634" s="128" t="s">
        <v>2201</v>
      </c>
      <c r="F634" s="126">
        <v>46445</v>
      </c>
      <c r="G634" s="126">
        <v>46449</v>
      </c>
      <c r="H634" s="129" t="s">
        <v>2202</v>
      </c>
      <c r="I634" s="130" t="s">
        <v>2193</v>
      </c>
      <c r="J634" s="123" t="s">
        <v>1710</v>
      </c>
      <c r="K634" s="123"/>
    </row>
    <row r="635" spans="1:11" ht="27.75" customHeight="1">
      <c r="A635" s="132" t="s">
        <v>2203</v>
      </c>
      <c r="B635" s="133" t="s">
        <v>2204</v>
      </c>
      <c r="C635" s="125" t="s">
        <v>2205</v>
      </c>
      <c r="D635" s="127" t="s">
        <v>221</v>
      </c>
      <c r="E635" s="128" t="s">
        <v>2206</v>
      </c>
      <c r="F635" s="126">
        <v>46450</v>
      </c>
      <c r="G635" s="126">
        <v>46453</v>
      </c>
      <c r="H635" s="129" t="s">
        <v>2207</v>
      </c>
      <c r="I635" s="130" t="s">
        <v>2198</v>
      </c>
      <c r="J635" s="123" t="s">
        <v>1710</v>
      </c>
      <c r="K635" s="123"/>
    </row>
    <row r="636" spans="1:11" ht="30.75" customHeight="1">
      <c r="A636" s="132" t="s">
        <v>2208</v>
      </c>
      <c r="B636" s="133" t="s">
        <v>2209</v>
      </c>
      <c r="C636" s="125" t="s">
        <v>2210</v>
      </c>
      <c r="D636" s="127" t="s">
        <v>235</v>
      </c>
      <c r="E636" s="128" t="s">
        <v>2211</v>
      </c>
      <c r="F636" s="126">
        <v>46453</v>
      </c>
      <c r="G636" s="126">
        <v>46453</v>
      </c>
      <c r="H636" s="129" t="s">
        <v>2212</v>
      </c>
      <c r="I636" s="130" t="s">
        <v>2203</v>
      </c>
      <c r="J636" s="123" t="s">
        <v>1474</v>
      </c>
      <c r="K636" s="123"/>
    </row>
    <row r="637" spans="1:11" ht="30.75" customHeight="1">
      <c r="A637" s="132" t="s">
        <v>1994</v>
      </c>
      <c r="B637" s="133" t="s">
        <v>1994</v>
      </c>
      <c r="C637" s="125" t="s">
        <v>2213</v>
      </c>
      <c r="D637" s="127"/>
      <c r="E637" s="128"/>
      <c r="F637" s="126"/>
      <c r="G637" s="126"/>
      <c r="H637" s="129"/>
      <c r="I637" s="130"/>
      <c r="J637" s="123"/>
      <c r="K637" s="123"/>
    </row>
    <row r="638" spans="1:11" ht="30.75" customHeight="1">
      <c r="A638" s="132" t="s">
        <v>2214</v>
      </c>
      <c r="B638" s="133" t="s">
        <v>2215</v>
      </c>
      <c r="C638" s="125" t="s">
        <v>2216</v>
      </c>
      <c r="D638" s="127" t="s">
        <v>2217</v>
      </c>
      <c r="E638" s="128" t="s">
        <v>2218</v>
      </c>
      <c r="F638" s="126">
        <v>46407</v>
      </c>
      <c r="G638" s="126">
        <v>46476</v>
      </c>
      <c r="H638" s="129" t="s">
        <v>218</v>
      </c>
      <c r="I638" s="130" t="s">
        <v>1995</v>
      </c>
      <c r="J638" s="123" t="s">
        <v>1710</v>
      </c>
      <c r="K638" s="123"/>
    </row>
    <row r="639" spans="1:11" ht="30.75" customHeight="1">
      <c r="A639" s="132" t="s">
        <v>2219</v>
      </c>
      <c r="B639" s="133" t="s">
        <v>2220</v>
      </c>
      <c r="C639" s="125" t="s">
        <v>2221</v>
      </c>
      <c r="D639" s="127" t="s">
        <v>255</v>
      </c>
      <c r="E639" s="128" t="s">
        <v>2222</v>
      </c>
      <c r="F639" s="126">
        <v>46407</v>
      </c>
      <c r="G639" s="126">
        <v>46407</v>
      </c>
      <c r="H639" s="129" t="s">
        <v>1532</v>
      </c>
      <c r="I639" s="130" t="s">
        <v>2214</v>
      </c>
      <c r="J639" s="123" t="s">
        <v>1710</v>
      </c>
      <c r="K639" s="123"/>
    </row>
    <row r="640" spans="1:11" ht="30.75" customHeight="1">
      <c r="A640" s="132" t="s">
        <v>2223</v>
      </c>
      <c r="B640" s="133" t="s">
        <v>2224</v>
      </c>
      <c r="C640" s="125" t="s">
        <v>2225</v>
      </c>
      <c r="D640" s="127" t="s">
        <v>221</v>
      </c>
      <c r="E640" s="128" t="s">
        <v>2226</v>
      </c>
      <c r="F640" s="126">
        <v>46408</v>
      </c>
      <c r="G640" s="126">
        <v>46410</v>
      </c>
      <c r="H640" s="129" t="s">
        <v>2227</v>
      </c>
      <c r="I640" s="130" t="s">
        <v>2219</v>
      </c>
      <c r="J640" s="123" t="s">
        <v>1710</v>
      </c>
      <c r="K640" s="123"/>
    </row>
    <row r="641" spans="1:11" ht="30.75" customHeight="1">
      <c r="A641" s="132" t="s">
        <v>2228</v>
      </c>
      <c r="B641" s="133" t="s">
        <v>2229</v>
      </c>
      <c r="C641" s="125" t="s">
        <v>2230</v>
      </c>
      <c r="D641" s="127" t="s">
        <v>309</v>
      </c>
      <c r="E641" s="128" t="s">
        <v>2231</v>
      </c>
      <c r="F641" s="126">
        <v>46411</v>
      </c>
      <c r="G641" s="126">
        <v>46417</v>
      </c>
      <c r="H641" s="129" t="s">
        <v>2232</v>
      </c>
      <c r="I641" s="130" t="s">
        <v>2223</v>
      </c>
      <c r="J641" s="123" t="s">
        <v>1710</v>
      </c>
      <c r="K641" s="123"/>
    </row>
    <row r="642" spans="1:11" ht="30.75" customHeight="1">
      <c r="A642" s="132" t="s">
        <v>2233</v>
      </c>
      <c r="B642" s="133" t="s">
        <v>2234</v>
      </c>
      <c r="C642" s="125" t="s">
        <v>2235</v>
      </c>
      <c r="D642" s="127" t="s">
        <v>226</v>
      </c>
      <c r="E642" s="128" t="s">
        <v>2236</v>
      </c>
      <c r="F642" s="126">
        <v>46418</v>
      </c>
      <c r="G642" s="126">
        <v>46419</v>
      </c>
      <c r="H642" s="129" t="s">
        <v>2237</v>
      </c>
      <c r="I642" s="130" t="s">
        <v>2228</v>
      </c>
      <c r="J642" s="123" t="s">
        <v>1710</v>
      </c>
      <c r="K642" s="123"/>
    </row>
    <row r="643" spans="1:11" ht="30.75" customHeight="1">
      <c r="A643" s="132" t="s">
        <v>2238</v>
      </c>
      <c r="B643" s="133" t="s">
        <v>2239</v>
      </c>
      <c r="C643" s="125" t="s">
        <v>2240</v>
      </c>
      <c r="D643" s="127" t="s">
        <v>221</v>
      </c>
      <c r="E643" s="128" t="s">
        <v>2241</v>
      </c>
      <c r="F643" s="126">
        <v>46420</v>
      </c>
      <c r="G643" s="126">
        <v>46422</v>
      </c>
      <c r="H643" s="129" t="s">
        <v>2242</v>
      </c>
      <c r="I643" s="130" t="s">
        <v>2233</v>
      </c>
      <c r="J643" s="123" t="s">
        <v>1710</v>
      </c>
      <c r="K643" s="123"/>
    </row>
    <row r="644" spans="1:11" ht="21.75" customHeight="1">
      <c r="A644" s="132" t="s">
        <v>2243</v>
      </c>
      <c r="B644" s="133" t="s">
        <v>2244</v>
      </c>
      <c r="C644" s="125" t="s">
        <v>2245</v>
      </c>
      <c r="D644" s="127" t="s">
        <v>235</v>
      </c>
      <c r="E644" s="128" t="s">
        <v>2246</v>
      </c>
      <c r="F644" s="126">
        <v>46422</v>
      </c>
      <c r="G644" s="126">
        <v>46422</v>
      </c>
      <c r="H644" s="129" t="s">
        <v>261</v>
      </c>
      <c r="I644" s="130" t="s">
        <v>2238</v>
      </c>
      <c r="J644" s="123" t="s">
        <v>1474</v>
      </c>
      <c r="K644" s="123"/>
    </row>
    <row r="645" spans="1:11" ht="13.5" customHeight="1">
      <c r="A645" s="132" t="s">
        <v>2247</v>
      </c>
      <c r="B645" s="133" t="s">
        <v>2248</v>
      </c>
      <c r="C645" s="125" t="s">
        <v>2249</v>
      </c>
      <c r="D645" s="127" t="s">
        <v>221</v>
      </c>
      <c r="E645" s="128" t="s">
        <v>2250</v>
      </c>
      <c r="F645" s="126">
        <v>46423</v>
      </c>
      <c r="G645" s="126">
        <v>46425</v>
      </c>
      <c r="H645" s="129" t="s">
        <v>2251</v>
      </c>
      <c r="I645" s="130" t="s">
        <v>2243</v>
      </c>
      <c r="J645" s="123" t="s">
        <v>1710</v>
      </c>
      <c r="K645" s="123"/>
    </row>
    <row r="646" spans="1:11" ht="13.5" customHeight="1">
      <c r="A646" s="132" t="s">
        <v>2252</v>
      </c>
      <c r="B646" s="133" t="s">
        <v>2253</v>
      </c>
      <c r="C646" s="125" t="s">
        <v>2254</v>
      </c>
      <c r="D646" s="127" t="s">
        <v>182</v>
      </c>
      <c r="E646" s="128" t="s">
        <v>2255</v>
      </c>
      <c r="F646" s="126">
        <v>46426</v>
      </c>
      <c r="G646" s="126">
        <v>46430</v>
      </c>
      <c r="H646" s="129" t="s">
        <v>2256</v>
      </c>
      <c r="I646" s="130" t="s">
        <v>2247</v>
      </c>
      <c r="J646" s="123" t="s">
        <v>1710</v>
      </c>
      <c r="K646" s="123"/>
    </row>
    <row r="647" spans="1:11" ht="13.5" customHeight="1">
      <c r="A647" s="132" t="s">
        <v>2257</v>
      </c>
      <c r="B647" s="133" t="s">
        <v>2258</v>
      </c>
      <c r="C647" s="125" t="s">
        <v>2259</v>
      </c>
      <c r="D647" s="127" t="s">
        <v>221</v>
      </c>
      <c r="E647" s="128" t="s">
        <v>2260</v>
      </c>
      <c r="F647" s="126">
        <v>46431</v>
      </c>
      <c r="G647" s="126">
        <v>46433</v>
      </c>
      <c r="H647" s="129" t="s">
        <v>2232</v>
      </c>
      <c r="I647" s="130" t="s">
        <v>2252</v>
      </c>
      <c r="J647" s="123" t="s">
        <v>1710</v>
      </c>
      <c r="K647" s="123"/>
    </row>
    <row r="648" spans="1:11" ht="13.5" customHeight="1">
      <c r="A648" s="132" t="s">
        <v>2261</v>
      </c>
      <c r="B648" s="133" t="s">
        <v>2262</v>
      </c>
      <c r="C648" s="125" t="s">
        <v>2263</v>
      </c>
      <c r="D648" s="127" t="s">
        <v>252</v>
      </c>
      <c r="E648" s="128" t="s">
        <v>2264</v>
      </c>
      <c r="F648" s="126">
        <v>46434</v>
      </c>
      <c r="G648" s="126">
        <v>46437</v>
      </c>
      <c r="H648" s="129" t="s">
        <v>218</v>
      </c>
      <c r="I648" s="130" t="s">
        <v>2257</v>
      </c>
      <c r="J648" s="123" t="s">
        <v>1710</v>
      </c>
      <c r="K648" s="123"/>
    </row>
    <row r="649" spans="1:11" ht="13.5" customHeight="1">
      <c r="A649" s="132" t="s">
        <v>2265</v>
      </c>
      <c r="B649" s="133" t="s">
        <v>2266</v>
      </c>
      <c r="C649" s="125" t="s">
        <v>2267</v>
      </c>
      <c r="D649" s="127" t="s">
        <v>235</v>
      </c>
      <c r="E649" s="128" t="s">
        <v>2268</v>
      </c>
      <c r="F649" s="126">
        <v>46437</v>
      </c>
      <c r="G649" s="126">
        <v>46437</v>
      </c>
      <c r="H649" s="129" t="s">
        <v>261</v>
      </c>
      <c r="I649" s="130" t="s">
        <v>2261</v>
      </c>
      <c r="J649" s="123" t="s">
        <v>1474</v>
      </c>
      <c r="K649" s="123"/>
    </row>
    <row r="650" spans="1:11" ht="13.5" customHeight="1">
      <c r="A650" s="132" t="s">
        <v>1994</v>
      </c>
      <c r="B650" s="133" t="s">
        <v>1994</v>
      </c>
      <c r="C650" s="125" t="s">
        <v>2269</v>
      </c>
      <c r="D650" s="127"/>
      <c r="E650" s="128"/>
      <c r="F650" s="126"/>
      <c r="G650" s="126"/>
      <c r="H650" s="129"/>
      <c r="I650" s="130"/>
      <c r="J650" s="123"/>
      <c r="K650" s="123"/>
    </row>
    <row r="651" spans="1:11" ht="13.5" customHeight="1">
      <c r="A651" s="132" t="s">
        <v>2270</v>
      </c>
      <c r="B651" s="133" t="s">
        <v>2271</v>
      </c>
      <c r="C651" s="125" t="s">
        <v>2272</v>
      </c>
      <c r="D651" s="127" t="s">
        <v>2273</v>
      </c>
      <c r="E651" s="128" t="s">
        <v>2274</v>
      </c>
      <c r="F651" s="126">
        <v>46461</v>
      </c>
      <c r="G651" s="126">
        <v>46510</v>
      </c>
      <c r="H651" s="129" t="s">
        <v>2275</v>
      </c>
      <c r="I651" s="130" t="s">
        <v>2091</v>
      </c>
      <c r="J651" s="123" t="s">
        <v>1710</v>
      </c>
      <c r="K651" s="123"/>
    </row>
    <row r="652" spans="1:11" ht="13.5" customHeight="1">
      <c r="A652" s="132" t="s">
        <v>2276</v>
      </c>
      <c r="B652" s="133" t="s">
        <v>2277</v>
      </c>
      <c r="C652" s="125" t="s">
        <v>2278</v>
      </c>
      <c r="D652" s="127" t="s">
        <v>255</v>
      </c>
      <c r="E652" s="128" t="s">
        <v>2279</v>
      </c>
      <c r="F652" s="126">
        <v>46461</v>
      </c>
      <c r="G652" s="126">
        <v>46461</v>
      </c>
      <c r="H652" s="129" t="s">
        <v>1464</v>
      </c>
      <c r="I652" s="130" t="s">
        <v>2270</v>
      </c>
      <c r="J652" s="123" t="s">
        <v>1710</v>
      </c>
      <c r="K652" s="123"/>
    </row>
    <row r="653" spans="1:11" ht="13.5" customHeight="1">
      <c r="A653" s="132" t="s">
        <v>2280</v>
      </c>
      <c r="B653" s="133" t="s">
        <v>2281</v>
      </c>
      <c r="C653" s="125" t="s">
        <v>2282</v>
      </c>
      <c r="D653" s="127" t="s">
        <v>252</v>
      </c>
      <c r="E653" s="128" t="s">
        <v>2283</v>
      </c>
      <c r="F653" s="126">
        <v>46462</v>
      </c>
      <c r="G653" s="126">
        <v>46466</v>
      </c>
      <c r="H653" s="129" t="s">
        <v>2284</v>
      </c>
      <c r="I653" s="130" t="s">
        <v>2276</v>
      </c>
      <c r="J653" s="123" t="s">
        <v>1710</v>
      </c>
      <c r="K653" s="123"/>
    </row>
    <row r="654" spans="1:11" ht="13.5" customHeight="1">
      <c r="A654" s="132" t="s">
        <v>2285</v>
      </c>
      <c r="B654" s="133" t="s">
        <v>2286</v>
      </c>
      <c r="C654" s="125" t="s">
        <v>2287</v>
      </c>
      <c r="D654" s="127" t="s">
        <v>252</v>
      </c>
      <c r="E654" s="128" t="s">
        <v>2288</v>
      </c>
      <c r="F654" s="126">
        <v>46467</v>
      </c>
      <c r="G654" s="126">
        <v>46471</v>
      </c>
      <c r="H654" s="129" t="s">
        <v>2284</v>
      </c>
      <c r="I654" s="130" t="s">
        <v>2280</v>
      </c>
      <c r="J654" s="123" t="s">
        <v>1710</v>
      </c>
      <c r="K654" s="123"/>
    </row>
    <row r="655" spans="1:11" ht="13.5" customHeight="1">
      <c r="A655" s="132" t="s">
        <v>2289</v>
      </c>
      <c r="B655" s="133" t="s">
        <v>2290</v>
      </c>
      <c r="C655" s="125" t="s">
        <v>2291</v>
      </c>
      <c r="D655" s="127" t="s">
        <v>252</v>
      </c>
      <c r="E655" s="128" t="s">
        <v>2292</v>
      </c>
      <c r="F655" s="126">
        <v>46472</v>
      </c>
      <c r="G655" s="126">
        <v>46476</v>
      </c>
      <c r="H655" s="129" t="s">
        <v>2284</v>
      </c>
      <c r="I655" s="130" t="s">
        <v>2285</v>
      </c>
      <c r="J655" s="123" t="s">
        <v>1710</v>
      </c>
      <c r="K655" s="123"/>
    </row>
    <row r="656" spans="1:11" ht="13.5" customHeight="1">
      <c r="A656" s="132" t="s">
        <v>2293</v>
      </c>
      <c r="B656" s="133" t="s">
        <v>2294</v>
      </c>
      <c r="C656" s="125" t="s">
        <v>2295</v>
      </c>
      <c r="D656" s="127" t="s">
        <v>235</v>
      </c>
      <c r="E656" s="128" t="s">
        <v>2296</v>
      </c>
      <c r="F656" s="126">
        <v>46476</v>
      </c>
      <c r="G656" s="126">
        <v>46476</v>
      </c>
      <c r="H656" s="129" t="s">
        <v>261</v>
      </c>
      <c r="I656" s="130" t="s">
        <v>2289</v>
      </c>
      <c r="J656" s="123" t="s">
        <v>1474</v>
      </c>
      <c r="K656" s="123"/>
    </row>
    <row r="657" spans="1:11" ht="13.5" customHeight="1">
      <c r="A657" s="132" t="s">
        <v>2297</v>
      </c>
      <c r="B657" s="133" t="s">
        <v>2298</v>
      </c>
      <c r="C657" s="125" t="s">
        <v>2299</v>
      </c>
      <c r="D657" s="127" t="s">
        <v>226</v>
      </c>
      <c r="E657" s="128" t="s">
        <v>2300</v>
      </c>
      <c r="F657" s="126">
        <v>46477</v>
      </c>
      <c r="G657" s="126">
        <v>46478</v>
      </c>
      <c r="H657" s="129" t="s">
        <v>2301</v>
      </c>
      <c r="I657" s="130" t="s">
        <v>2293</v>
      </c>
      <c r="J657" s="123" t="s">
        <v>1710</v>
      </c>
      <c r="K657" s="123"/>
    </row>
    <row r="658" spans="1:11" ht="13.5" customHeight="1">
      <c r="A658" s="132" t="s">
        <v>2302</v>
      </c>
      <c r="B658" s="133" t="s">
        <v>2303</v>
      </c>
      <c r="C658" s="125" t="s">
        <v>2304</v>
      </c>
      <c r="D658" s="127" t="s">
        <v>252</v>
      </c>
      <c r="E658" s="128" t="s">
        <v>2305</v>
      </c>
      <c r="F658" s="126">
        <v>46479</v>
      </c>
      <c r="G658" s="126">
        <v>46483</v>
      </c>
      <c r="H658" s="129" t="s">
        <v>2301</v>
      </c>
      <c r="I658" s="130" t="s">
        <v>2297</v>
      </c>
      <c r="J658" s="123" t="s">
        <v>1710</v>
      </c>
      <c r="K658" s="123"/>
    </row>
    <row r="659" spans="1:11" ht="13.5" customHeight="1">
      <c r="A659" s="132" t="s">
        <v>2306</v>
      </c>
      <c r="B659" s="133" t="s">
        <v>2307</v>
      </c>
      <c r="C659" s="125" t="s">
        <v>2308</v>
      </c>
      <c r="D659" s="127" t="s">
        <v>255</v>
      </c>
      <c r="E659" s="128" t="s">
        <v>2309</v>
      </c>
      <c r="F659" s="126">
        <v>46484</v>
      </c>
      <c r="G659" s="126">
        <v>46484</v>
      </c>
      <c r="H659" s="129" t="s">
        <v>2310</v>
      </c>
      <c r="I659" s="130" t="s">
        <v>2302</v>
      </c>
      <c r="J659" s="123" t="s">
        <v>1710</v>
      </c>
      <c r="K659" s="123"/>
    </row>
    <row r="660" spans="1:11" ht="13.5" customHeight="1">
      <c r="A660" s="132" t="s">
        <v>2311</v>
      </c>
      <c r="B660" s="133" t="s">
        <v>2312</v>
      </c>
      <c r="C660" s="125" t="s">
        <v>2313</v>
      </c>
      <c r="D660" s="127" t="s">
        <v>221</v>
      </c>
      <c r="E660" s="128" t="s">
        <v>2314</v>
      </c>
      <c r="F660" s="126">
        <v>46485</v>
      </c>
      <c r="G660" s="126">
        <v>46488</v>
      </c>
      <c r="H660" s="129" t="s">
        <v>2315</v>
      </c>
      <c r="I660" s="130" t="s">
        <v>2306</v>
      </c>
      <c r="J660" s="123" t="s">
        <v>1710</v>
      </c>
      <c r="K660" s="123"/>
    </row>
    <row r="661" spans="1:11" ht="13.5" customHeight="1">
      <c r="A661" s="132" t="s">
        <v>2316</v>
      </c>
      <c r="B661" s="133" t="s">
        <v>2317</v>
      </c>
      <c r="C661" s="125" t="s">
        <v>2318</v>
      </c>
      <c r="D661" s="127" t="s">
        <v>235</v>
      </c>
      <c r="E661" s="128" t="s">
        <v>2319</v>
      </c>
      <c r="F661" s="126">
        <v>46488</v>
      </c>
      <c r="G661" s="126">
        <v>46488</v>
      </c>
      <c r="H661" s="129" t="s">
        <v>2212</v>
      </c>
      <c r="I661" s="130" t="s">
        <v>2311</v>
      </c>
      <c r="J661" s="123" t="s">
        <v>1474</v>
      </c>
      <c r="K661" s="123"/>
    </row>
    <row r="662" spans="1:11" ht="13.5" customHeight="1">
      <c r="A662" s="132" t="s">
        <v>1994</v>
      </c>
      <c r="B662" s="133" t="s">
        <v>1994</v>
      </c>
      <c r="C662" s="125" t="s">
        <v>2320</v>
      </c>
      <c r="D662" s="127"/>
      <c r="E662" s="128"/>
      <c r="F662" s="126"/>
      <c r="G662" s="126"/>
      <c r="H662" s="129"/>
      <c r="I662" s="130"/>
      <c r="J662" s="123"/>
      <c r="K662" s="123"/>
    </row>
    <row r="663" spans="1:11" ht="13.5" customHeight="1">
      <c r="A663" s="132" t="s">
        <v>2321</v>
      </c>
      <c r="B663" s="133" t="s">
        <v>2322</v>
      </c>
      <c r="C663" s="125" t="s">
        <v>2323</v>
      </c>
      <c r="D663" s="127" t="s">
        <v>221</v>
      </c>
      <c r="E663" s="128" t="s">
        <v>2324</v>
      </c>
      <c r="F663" s="126">
        <v>46489</v>
      </c>
      <c r="G663" s="126">
        <v>46491</v>
      </c>
      <c r="H663" s="129" t="s">
        <v>2325</v>
      </c>
      <c r="I663" s="130" t="s">
        <v>2316</v>
      </c>
      <c r="J663" s="123" t="s">
        <v>1710</v>
      </c>
      <c r="K663" s="123"/>
    </row>
    <row r="664" spans="1:11" ht="13.5" customHeight="1">
      <c r="A664" s="132" t="s">
        <v>2326</v>
      </c>
      <c r="B664" s="133" t="s">
        <v>2327</v>
      </c>
      <c r="C664" s="125" t="s">
        <v>2328</v>
      </c>
      <c r="D664" s="127" t="s">
        <v>182</v>
      </c>
      <c r="E664" s="128" t="s">
        <v>2329</v>
      </c>
      <c r="F664" s="126">
        <v>46492</v>
      </c>
      <c r="G664" s="126">
        <v>46497</v>
      </c>
      <c r="H664" s="129" t="s">
        <v>2325</v>
      </c>
      <c r="I664" s="130" t="s">
        <v>2321</v>
      </c>
      <c r="J664" s="123" t="s">
        <v>1710</v>
      </c>
      <c r="K664" s="123"/>
    </row>
    <row r="665" spans="1:11" ht="13.5" customHeight="1">
      <c r="A665" s="132" t="s">
        <v>2330</v>
      </c>
      <c r="B665" s="133" t="s">
        <v>2331</v>
      </c>
      <c r="C665" s="125" t="s">
        <v>2332</v>
      </c>
      <c r="D665" s="127" t="s">
        <v>252</v>
      </c>
      <c r="E665" s="128" t="s">
        <v>2333</v>
      </c>
      <c r="F665" s="126">
        <v>46498</v>
      </c>
      <c r="G665" s="126">
        <v>46502</v>
      </c>
      <c r="H665" s="129" t="s">
        <v>2334</v>
      </c>
      <c r="I665" s="130" t="s">
        <v>2326</v>
      </c>
      <c r="J665" s="123" t="s">
        <v>1710</v>
      </c>
      <c r="K665" s="123"/>
    </row>
    <row r="666" spans="1:11" ht="13.5" customHeight="1">
      <c r="A666" s="132" t="s">
        <v>2335</v>
      </c>
      <c r="B666" s="133" t="s">
        <v>2336</v>
      </c>
      <c r="C666" s="125" t="s">
        <v>2337</v>
      </c>
      <c r="D666" s="127" t="s">
        <v>255</v>
      </c>
      <c r="E666" s="128" t="s">
        <v>2338</v>
      </c>
      <c r="F666" s="126">
        <v>46503</v>
      </c>
      <c r="G666" s="126">
        <v>46503</v>
      </c>
      <c r="H666" s="129" t="s">
        <v>2334</v>
      </c>
      <c r="I666" s="130" t="s">
        <v>2330</v>
      </c>
      <c r="J666" s="123" t="s">
        <v>1710</v>
      </c>
      <c r="K666" s="123"/>
    </row>
    <row r="667" spans="1:11" ht="13.5" customHeight="1">
      <c r="A667" s="132" t="s">
        <v>2339</v>
      </c>
      <c r="B667" s="133" t="s">
        <v>2340</v>
      </c>
      <c r="C667" s="125" t="s">
        <v>2341</v>
      </c>
      <c r="D667" s="127" t="s">
        <v>221</v>
      </c>
      <c r="E667" s="128" t="s">
        <v>2342</v>
      </c>
      <c r="F667" s="126">
        <v>46504</v>
      </c>
      <c r="G667" s="126">
        <v>46507</v>
      </c>
      <c r="H667" s="129" t="s">
        <v>2343</v>
      </c>
      <c r="I667" s="130" t="s">
        <v>2335</v>
      </c>
      <c r="J667" s="123" t="s">
        <v>1710</v>
      </c>
      <c r="K667" s="123"/>
    </row>
    <row r="668" spans="1:11" ht="13.5" customHeight="1">
      <c r="A668" s="132" t="s">
        <v>2344</v>
      </c>
      <c r="B668" s="133" t="s">
        <v>2345</v>
      </c>
      <c r="C668" s="125" t="s">
        <v>2346</v>
      </c>
      <c r="D668" s="127" t="s">
        <v>221</v>
      </c>
      <c r="E668" s="128" t="s">
        <v>2347</v>
      </c>
      <c r="F668" s="126">
        <v>46508</v>
      </c>
      <c r="G668" s="126">
        <v>46511</v>
      </c>
      <c r="H668" s="129" t="s">
        <v>2232</v>
      </c>
      <c r="I668" s="130" t="s">
        <v>2339</v>
      </c>
      <c r="J668" s="123" t="s">
        <v>1710</v>
      </c>
      <c r="K668" s="123"/>
    </row>
    <row r="669" spans="1:11" ht="13.5" customHeight="1">
      <c r="A669" s="132" t="s">
        <v>2348</v>
      </c>
      <c r="B669" s="133" t="s">
        <v>2349</v>
      </c>
      <c r="C669" s="125" t="s">
        <v>2350</v>
      </c>
      <c r="D669" s="127" t="s">
        <v>226</v>
      </c>
      <c r="E669" s="128" t="s">
        <v>2351</v>
      </c>
      <c r="F669" s="126">
        <v>46512</v>
      </c>
      <c r="G669" s="126">
        <v>46513</v>
      </c>
      <c r="H669" s="129" t="s">
        <v>2352</v>
      </c>
      <c r="I669" s="130" t="s">
        <v>2344</v>
      </c>
      <c r="J669" s="123" t="s">
        <v>1710</v>
      </c>
      <c r="K669" s="123"/>
    </row>
    <row r="670" spans="1:11" ht="13.5" customHeight="1">
      <c r="A670" s="132" t="s">
        <v>2353</v>
      </c>
      <c r="B670" s="133" t="s">
        <v>2354</v>
      </c>
      <c r="C670" s="125" t="s">
        <v>2355</v>
      </c>
      <c r="D670" s="127" t="s">
        <v>221</v>
      </c>
      <c r="E670" s="128" t="s">
        <v>2356</v>
      </c>
      <c r="F670" s="126">
        <v>46514</v>
      </c>
      <c r="G670" s="126">
        <v>46517</v>
      </c>
      <c r="H670" s="129" t="s">
        <v>1680</v>
      </c>
      <c r="I670" s="130" t="s">
        <v>2348</v>
      </c>
      <c r="J670" s="123" t="s">
        <v>1710</v>
      </c>
      <c r="K670" s="123"/>
    </row>
    <row r="671" spans="1:11" ht="13.5" customHeight="1">
      <c r="A671" s="132" t="s">
        <v>2357</v>
      </c>
      <c r="B671" s="133" t="s">
        <v>2358</v>
      </c>
      <c r="C671" s="125" t="s">
        <v>2359</v>
      </c>
      <c r="D671" s="127" t="s">
        <v>235</v>
      </c>
      <c r="E671" s="128" t="s">
        <v>2360</v>
      </c>
      <c r="F671" s="126">
        <v>46517</v>
      </c>
      <c r="G671" s="126">
        <v>46517</v>
      </c>
      <c r="H671" s="129" t="s">
        <v>1390</v>
      </c>
      <c r="I671" s="130" t="s">
        <v>2353</v>
      </c>
      <c r="J671" s="123" t="s">
        <v>1474</v>
      </c>
      <c r="K671" s="123"/>
    </row>
    <row r="672" spans="1:11" ht="13.5" customHeight="1">
      <c r="A672" s="132" t="s">
        <v>2361</v>
      </c>
      <c r="B672" s="133" t="s">
        <v>2362</v>
      </c>
      <c r="C672" s="125" t="s">
        <v>2363</v>
      </c>
      <c r="D672" s="127" t="s">
        <v>235</v>
      </c>
      <c r="E672" s="128" t="s">
        <v>2364</v>
      </c>
      <c r="F672" s="126">
        <v>46517</v>
      </c>
      <c r="G672" s="126">
        <v>46517</v>
      </c>
      <c r="H672" s="129" t="s">
        <v>1390</v>
      </c>
      <c r="I672" s="130" t="s">
        <v>2365</v>
      </c>
      <c r="J672" s="123" t="s">
        <v>1474</v>
      </c>
      <c r="K672" s="123"/>
    </row>
    <row r="673" spans="1:11" ht="13.5" customHeight="1">
      <c r="A673" s="132" t="s">
        <v>1994</v>
      </c>
      <c r="B673" s="133" t="s">
        <v>1994</v>
      </c>
      <c r="C673" s="125" t="s">
        <v>1690</v>
      </c>
      <c r="D673" s="127"/>
      <c r="E673" s="128"/>
      <c r="F673" s="126"/>
      <c r="G673" s="126"/>
      <c r="H673" s="129"/>
      <c r="I673" s="130"/>
      <c r="J673" s="123"/>
      <c r="K673" s="123"/>
    </row>
    <row r="674" spans="1:11" ht="13.5" customHeight="1">
      <c r="A674" s="132"/>
      <c r="B674" s="133"/>
      <c r="C674" s="125"/>
      <c r="D674" s="127"/>
      <c r="E674" s="128"/>
      <c r="F674" s="126"/>
      <c r="G674" s="126"/>
      <c r="H674" s="129"/>
      <c r="I674" s="130"/>
      <c r="J674" s="123"/>
      <c r="K674" s="123"/>
    </row>
    <row r="675" spans="1:11" ht="13.5" customHeight="1">
      <c r="A675" s="134" t="s">
        <v>2366</v>
      </c>
      <c r="B675" s="135">
        <v>24</v>
      </c>
      <c r="C675" s="134" t="s">
        <v>2367</v>
      </c>
      <c r="D675" s="135" t="s">
        <v>286</v>
      </c>
      <c r="E675" s="136" t="s">
        <v>2368</v>
      </c>
      <c r="F675" s="137">
        <f>[1]CONFIGURACIÓN!$B$4+503</f>
        <v>46677</v>
      </c>
      <c r="G675" s="137">
        <f>[1]CONFIGURACIÓN!$B$4+625</f>
        <v>46799</v>
      </c>
      <c r="H675" s="138" t="s">
        <v>1304</v>
      </c>
      <c r="I675" s="139" t="s">
        <v>2369</v>
      </c>
      <c r="J675" s="134"/>
      <c r="K675" s="134"/>
    </row>
    <row r="676" spans="1:11" ht="13.5" customHeight="1">
      <c r="A676" s="105" t="s">
        <v>2370</v>
      </c>
      <c r="B676" s="106">
        <v>24.1</v>
      </c>
      <c r="C676" s="140" t="s">
        <v>2371</v>
      </c>
      <c r="D676" s="108" t="s">
        <v>226</v>
      </c>
      <c r="E676" s="107" t="s">
        <v>2372</v>
      </c>
      <c r="F676" s="109"/>
      <c r="G676" s="109"/>
      <c r="H676" s="141" t="s">
        <v>2373</v>
      </c>
      <c r="I676" s="142" t="s">
        <v>2374</v>
      </c>
      <c r="J676" s="112" t="s">
        <v>179</v>
      </c>
      <c r="K676" s="107"/>
    </row>
    <row r="677" spans="1:11" ht="13.5" customHeight="1">
      <c r="A677" s="114" t="s">
        <v>2375</v>
      </c>
      <c r="B677" s="106">
        <v>24.2</v>
      </c>
      <c r="C677" s="143" t="s">
        <v>2376</v>
      </c>
      <c r="D677" s="108" t="s">
        <v>182</v>
      </c>
      <c r="E677" s="115" t="s">
        <v>2377</v>
      </c>
      <c r="F677" s="116"/>
      <c r="G677" s="116"/>
      <c r="H677" s="144" t="s">
        <v>2378</v>
      </c>
      <c r="I677" s="145" t="s">
        <v>2370</v>
      </c>
      <c r="J677" s="112" t="s">
        <v>179</v>
      </c>
      <c r="K677" s="115"/>
    </row>
    <row r="678" spans="1:11" ht="13.5" customHeight="1">
      <c r="A678" s="105" t="s">
        <v>2379</v>
      </c>
      <c r="B678" s="106">
        <v>24.3</v>
      </c>
      <c r="C678" s="140" t="s">
        <v>2380</v>
      </c>
      <c r="D678" s="108" t="s">
        <v>252</v>
      </c>
      <c r="E678" s="107" t="s">
        <v>2381</v>
      </c>
      <c r="F678" s="109"/>
      <c r="G678" s="109"/>
      <c r="H678" s="141" t="s">
        <v>2382</v>
      </c>
      <c r="I678" s="142" t="s">
        <v>2375</v>
      </c>
      <c r="J678" s="112" t="s">
        <v>179</v>
      </c>
      <c r="K678" s="107"/>
    </row>
    <row r="679" spans="1:11" ht="13.5" customHeight="1">
      <c r="A679" s="114" t="s">
        <v>2383</v>
      </c>
      <c r="B679" s="106">
        <v>24.4</v>
      </c>
      <c r="C679" s="143" t="s">
        <v>2384</v>
      </c>
      <c r="D679" s="108" t="s">
        <v>252</v>
      </c>
      <c r="E679" s="115" t="s">
        <v>2385</v>
      </c>
      <c r="F679" s="116"/>
      <c r="G679" s="116"/>
      <c r="H679" s="144" t="s">
        <v>2378</v>
      </c>
      <c r="I679" s="145" t="s">
        <v>2379</v>
      </c>
      <c r="J679" s="112" t="s">
        <v>179</v>
      </c>
      <c r="K679" s="115"/>
    </row>
    <row r="680" spans="1:11" ht="13.5" customHeight="1">
      <c r="A680" s="105" t="s">
        <v>2386</v>
      </c>
      <c r="B680" s="106">
        <v>24.5</v>
      </c>
      <c r="C680" s="140" t="s">
        <v>2387</v>
      </c>
      <c r="D680" s="108" t="s">
        <v>182</v>
      </c>
      <c r="E680" s="107" t="s">
        <v>2388</v>
      </c>
      <c r="F680" s="109"/>
      <c r="G680" s="109"/>
      <c r="H680" s="141" t="s">
        <v>2378</v>
      </c>
      <c r="I680" s="142" t="s">
        <v>2383</v>
      </c>
      <c r="J680" s="112" t="s">
        <v>179</v>
      </c>
      <c r="K680" s="107"/>
    </row>
    <row r="681" spans="1:11" ht="13.5" customHeight="1">
      <c r="A681" s="114" t="s">
        <v>2389</v>
      </c>
      <c r="B681" s="106">
        <v>24.6</v>
      </c>
      <c r="C681" s="143" t="s">
        <v>2390</v>
      </c>
      <c r="D681" s="108" t="s">
        <v>221</v>
      </c>
      <c r="E681" s="115" t="s">
        <v>2391</v>
      </c>
      <c r="F681" s="116"/>
      <c r="G681" s="116"/>
      <c r="H681" s="144" t="s">
        <v>2382</v>
      </c>
      <c r="I681" s="145" t="s">
        <v>2386</v>
      </c>
      <c r="J681" s="112" t="s">
        <v>179</v>
      </c>
      <c r="K681" s="115"/>
    </row>
    <row r="682" spans="1:11" ht="13.5" customHeight="1">
      <c r="A682" s="105" t="s">
        <v>2392</v>
      </c>
      <c r="B682" s="106">
        <v>24.7</v>
      </c>
      <c r="C682" s="140" t="s">
        <v>2393</v>
      </c>
      <c r="D682" s="108" t="s">
        <v>226</v>
      </c>
      <c r="E682" s="107" t="s">
        <v>2394</v>
      </c>
      <c r="F682" s="109"/>
      <c r="G682" s="109"/>
      <c r="H682" s="141" t="s">
        <v>2378</v>
      </c>
      <c r="I682" s="142" t="s">
        <v>2389</v>
      </c>
      <c r="J682" s="112" t="s">
        <v>179</v>
      </c>
      <c r="K682" s="107"/>
    </row>
    <row r="683" spans="1:11" ht="13.5" customHeight="1">
      <c r="A683" s="114" t="s">
        <v>2395</v>
      </c>
      <c r="B683" s="106">
        <v>24.8</v>
      </c>
      <c r="C683" s="143" t="s">
        <v>2396</v>
      </c>
      <c r="D683" s="108" t="s">
        <v>226</v>
      </c>
      <c r="E683" s="115" t="s">
        <v>2397</v>
      </c>
      <c r="F683" s="116"/>
      <c r="G683" s="116"/>
      <c r="H683" s="144" t="s">
        <v>2378</v>
      </c>
      <c r="I683" s="145" t="s">
        <v>2392</v>
      </c>
      <c r="J683" s="112" t="s">
        <v>179</v>
      </c>
      <c r="K683" s="115"/>
    </row>
    <row r="684" spans="1:11" ht="13.5" customHeight="1">
      <c r="A684" s="105" t="s">
        <v>2398</v>
      </c>
      <c r="B684" s="106">
        <v>24.9</v>
      </c>
      <c r="C684" s="140" t="s">
        <v>2399</v>
      </c>
      <c r="D684" s="108" t="s">
        <v>255</v>
      </c>
      <c r="E684" s="107" t="s">
        <v>2400</v>
      </c>
      <c r="F684" s="109"/>
      <c r="G684" s="109"/>
      <c r="H684" s="141" t="s">
        <v>2401</v>
      </c>
      <c r="I684" s="142" t="s">
        <v>2395</v>
      </c>
      <c r="J684" s="112" t="s">
        <v>179</v>
      </c>
      <c r="K684" s="107"/>
    </row>
    <row r="685" spans="1:11" ht="13.5" customHeight="1">
      <c r="A685" s="114" t="s">
        <v>2402</v>
      </c>
      <c r="B685" s="106">
        <v>24.1</v>
      </c>
      <c r="C685" s="143" t="s">
        <v>2403</v>
      </c>
      <c r="D685" s="108" t="s">
        <v>182</v>
      </c>
      <c r="E685" s="115" t="s">
        <v>2404</v>
      </c>
      <c r="F685" s="116"/>
      <c r="G685" s="116"/>
      <c r="H685" s="144" t="s">
        <v>2405</v>
      </c>
      <c r="I685" s="145" t="s">
        <v>2398</v>
      </c>
      <c r="J685" s="112" t="s">
        <v>179</v>
      </c>
      <c r="K685" s="115"/>
    </row>
    <row r="686" spans="1:11" ht="13.5" customHeight="1">
      <c r="A686" s="105" t="s">
        <v>2406</v>
      </c>
      <c r="B686" s="106">
        <v>24.11</v>
      </c>
      <c r="C686" s="140" t="s">
        <v>2407</v>
      </c>
      <c r="D686" s="108" t="s">
        <v>255</v>
      </c>
      <c r="E686" s="107" t="s">
        <v>2408</v>
      </c>
      <c r="F686" s="109"/>
      <c r="G686" s="109"/>
      <c r="H686" s="141" t="s">
        <v>2405</v>
      </c>
      <c r="I686" s="142" t="s">
        <v>2402</v>
      </c>
      <c r="J686" s="112" t="s">
        <v>179</v>
      </c>
      <c r="K686" s="107"/>
    </row>
    <row r="687" spans="1:11" ht="13.5" customHeight="1">
      <c r="A687" s="146" t="s">
        <v>2409</v>
      </c>
      <c r="B687" s="147" t="s">
        <v>2410</v>
      </c>
      <c r="C687" s="146" t="s">
        <v>2411</v>
      </c>
      <c r="D687" s="147" t="s">
        <v>235</v>
      </c>
      <c r="E687" s="146" t="s">
        <v>236</v>
      </c>
      <c r="F687" s="148"/>
      <c r="G687" s="148"/>
      <c r="H687" s="149" t="s">
        <v>2412</v>
      </c>
      <c r="I687" s="150" t="s">
        <v>2406</v>
      </c>
      <c r="J687" s="151" t="s">
        <v>1057</v>
      </c>
      <c r="K687" s="146"/>
    </row>
    <row r="688" spans="1:11" ht="13.5" customHeight="1">
      <c r="A688" s="123"/>
      <c r="B688" s="124"/>
      <c r="C688" s="125" t="s">
        <v>1415</v>
      </c>
      <c r="D688" s="124"/>
      <c r="E688" s="123"/>
      <c r="F688" s="126"/>
      <c r="G688" s="126"/>
      <c r="H688" s="123"/>
      <c r="I688" s="123"/>
      <c r="J688" s="123"/>
      <c r="K688" s="123"/>
    </row>
    <row r="689" spans="1:11" ht="13.5" customHeight="1">
      <c r="A689" s="134" t="s">
        <v>2413</v>
      </c>
      <c r="B689" s="135">
        <v>25</v>
      </c>
      <c r="C689" s="134" t="s">
        <v>2414</v>
      </c>
      <c r="D689" s="135" t="s">
        <v>1200</v>
      </c>
      <c r="E689" s="136" t="s">
        <v>2415</v>
      </c>
      <c r="F689" s="137">
        <f>[1]CONFIGURACIÓN!$B$4+277</f>
        <v>46451</v>
      </c>
      <c r="G689" s="137">
        <f>[1]CONFIGURACIÓN!$B$4+307</f>
        <v>46481</v>
      </c>
      <c r="H689" s="138" t="s">
        <v>2416</v>
      </c>
      <c r="I689" s="139" t="s">
        <v>2417</v>
      </c>
      <c r="J689" s="134"/>
      <c r="K689" s="134"/>
    </row>
    <row r="690" spans="1:11" ht="13.5" customHeight="1">
      <c r="A690" s="105" t="s">
        <v>2418</v>
      </c>
      <c r="B690" s="106">
        <v>25.1</v>
      </c>
      <c r="C690" s="140" t="s">
        <v>2419</v>
      </c>
      <c r="D690" s="108" t="s">
        <v>226</v>
      </c>
      <c r="E690" s="107" t="s">
        <v>2420</v>
      </c>
      <c r="F690" s="109"/>
      <c r="G690" s="109"/>
      <c r="H690" s="141" t="s">
        <v>2421</v>
      </c>
      <c r="I690" s="142" t="s">
        <v>2417</v>
      </c>
      <c r="J690" s="112" t="s">
        <v>179</v>
      </c>
      <c r="K690" s="107"/>
    </row>
    <row r="691" spans="1:11" ht="13.5" customHeight="1">
      <c r="A691" s="114" t="s">
        <v>2422</v>
      </c>
      <c r="B691" s="106">
        <v>25.2</v>
      </c>
      <c r="C691" s="143" t="s">
        <v>2423</v>
      </c>
      <c r="D691" s="108" t="s">
        <v>221</v>
      </c>
      <c r="E691" s="115" t="s">
        <v>2424</v>
      </c>
      <c r="F691" s="116"/>
      <c r="G691" s="116"/>
      <c r="H691" s="144" t="s">
        <v>2425</v>
      </c>
      <c r="I691" s="145" t="s">
        <v>2418</v>
      </c>
      <c r="J691" s="112" t="s">
        <v>179</v>
      </c>
      <c r="K691" s="115"/>
    </row>
    <row r="692" spans="1:11" ht="13.5" customHeight="1">
      <c r="A692" s="105" t="s">
        <v>2426</v>
      </c>
      <c r="B692" s="106">
        <v>25.3</v>
      </c>
      <c r="C692" s="140" t="s">
        <v>2427</v>
      </c>
      <c r="D692" s="108" t="s">
        <v>182</v>
      </c>
      <c r="E692" s="107" t="s">
        <v>2428</v>
      </c>
      <c r="F692" s="109"/>
      <c r="G692" s="109"/>
      <c r="H692" s="141" t="s">
        <v>2429</v>
      </c>
      <c r="I692" s="142" t="s">
        <v>2422</v>
      </c>
      <c r="J692" s="112" t="s">
        <v>179</v>
      </c>
      <c r="K692" s="107"/>
    </row>
    <row r="693" spans="1:11" ht="13.5" customHeight="1">
      <c r="A693" s="114" t="s">
        <v>2430</v>
      </c>
      <c r="B693" s="106">
        <v>25.4</v>
      </c>
      <c r="C693" s="143" t="s">
        <v>2431</v>
      </c>
      <c r="D693" s="108" t="s">
        <v>252</v>
      </c>
      <c r="E693" s="115" t="s">
        <v>2432</v>
      </c>
      <c r="F693" s="116"/>
      <c r="G693" s="116"/>
      <c r="H693" s="144" t="s">
        <v>2429</v>
      </c>
      <c r="I693" s="145" t="s">
        <v>2426</v>
      </c>
      <c r="J693" s="112" t="s">
        <v>179</v>
      </c>
      <c r="K693" s="115"/>
    </row>
    <row r="694" spans="1:11" ht="13.5" customHeight="1">
      <c r="A694" s="105" t="s">
        <v>2433</v>
      </c>
      <c r="B694" s="106">
        <v>25.5</v>
      </c>
      <c r="C694" s="140" t="s">
        <v>2434</v>
      </c>
      <c r="D694" s="108" t="s">
        <v>255</v>
      </c>
      <c r="E694" s="107" t="s">
        <v>2435</v>
      </c>
      <c r="F694" s="109"/>
      <c r="G694" s="109"/>
      <c r="H694" s="141" t="s">
        <v>2436</v>
      </c>
      <c r="I694" s="142" t="s">
        <v>2430</v>
      </c>
      <c r="J694" s="112" t="s">
        <v>179</v>
      </c>
      <c r="K694" s="107"/>
    </row>
    <row r="695" spans="1:11" ht="13.5" customHeight="1">
      <c r="A695" s="114" t="s">
        <v>2437</v>
      </c>
      <c r="B695" s="106">
        <v>25.6</v>
      </c>
      <c r="C695" s="143" t="s">
        <v>2438</v>
      </c>
      <c r="D695" s="108" t="s">
        <v>221</v>
      </c>
      <c r="E695" s="115" t="s">
        <v>2439</v>
      </c>
      <c r="F695" s="116"/>
      <c r="G695" s="116"/>
      <c r="H695" s="144" t="s">
        <v>2436</v>
      </c>
      <c r="I695" s="145" t="s">
        <v>2433</v>
      </c>
      <c r="J695" s="112" t="s">
        <v>179</v>
      </c>
      <c r="K695" s="115"/>
    </row>
    <row r="696" spans="1:11" ht="13.5" customHeight="1">
      <c r="A696" s="105" t="s">
        <v>2440</v>
      </c>
      <c r="B696" s="106">
        <v>25.7</v>
      </c>
      <c r="C696" s="140" t="s">
        <v>2441</v>
      </c>
      <c r="D696" s="108" t="s">
        <v>221</v>
      </c>
      <c r="E696" s="107" t="s">
        <v>2442</v>
      </c>
      <c r="F696" s="109"/>
      <c r="G696" s="109"/>
      <c r="H696" s="141" t="s">
        <v>2443</v>
      </c>
      <c r="I696" s="142" t="s">
        <v>2437</v>
      </c>
      <c r="J696" s="112" t="s">
        <v>179</v>
      </c>
      <c r="K696" s="107"/>
    </row>
    <row r="697" spans="1:11" ht="13.5" customHeight="1">
      <c r="A697" s="114" t="s">
        <v>2444</v>
      </c>
      <c r="B697" s="106">
        <v>25.8</v>
      </c>
      <c r="C697" s="143" t="s">
        <v>2445</v>
      </c>
      <c r="D697" s="108" t="s">
        <v>221</v>
      </c>
      <c r="E697" s="115" t="s">
        <v>2446</v>
      </c>
      <c r="F697" s="116"/>
      <c r="G697" s="116"/>
      <c r="H697" s="144" t="s">
        <v>2447</v>
      </c>
      <c r="I697" s="145" t="s">
        <v>2440</v>
      </c>
      <c r="J697" s="112" t="s">
        <v>179</v>
      </c>
      <c r="K697" s="115"/>
    </row>
    <row r="698" spans="1:11" ht="13.5" customHeight="1">
      <c r="A698" s="105" t="s">
        <v>2448</v>
      </c>
      <c r="B698" s="106">
        <v>25.9</v>
      </c>
      <c r="C698" s="140" t="s">
        <v>2449</v>
      </c>
      <c r="D698" s="108" t="s">
        <v>226</v>
      </c>
      <c r="E698" s="107" t="s">
        <v>2450</v>
      </c>
      <c r="F698" s="109"/>
      <c r="G698" s="109"/>
      <c r="H698" s="141" t="s">
        <v>2451</v>
      </c>
      <c r="I698" s="142" t="s">
        <v>2444</v>
      </c>
      <c r="J698" s="112" t="s">
        <v>179</v>
      </c>
      <c r="K698" s="107"/>
    </row>
    <row r="699" spans="1:11" ht="13.5" customHeight="1">
      <c r="A699" s="114" t="s">
        <v>2452</v>
      </c>
      <c r="B699" s="106">
        <v>25.1</v>
      </c>
      <c r="C699" s="143" t="s">
        <v>2453</v>
      </c>
      <c r="D699" s="108" t="s">
        <v>226</v>
      </c>
      <c r="E699" s="115" t="s">
        <v>2454</v>
      </c>
      <c r="F699" s="116"/>
      <c r="G699" s="116"/>
      <c r="H699" s="144" t="s">
        <v>261</v>
      </c>
      <c r="I699" s="145" t="s">
        <v>2448</v>
      </c>
      <c r="J699" s="112" t="s">
        <v>179</v>
      </c>
      <c r="K699" s="115"/>
    </row>
    <row r="700" spans="1:11" ht="13.5" customHeight="1">
      <c r="A700" s="146" t="s">
        <v>2455</v>
      </c>
      <c r="B700" s="147" t="s">
        <v>2456</v>
      </c>
      <c r="C700" s="146" t="s">
        <v>2457</v>
      </c>
      <c r="D700" s="147" t="s">
        <v>235</v>
      </c>
      <c r="E700" s="146" t="s">
        <v>236</v>
      </c>
      <c r="F700" s="148"/>
      <c r="G700" s="148"/>
      <c r="H700" s="149" t="s">
        <v>261</v>
      </c>
      <c r="I700" s="150" t="s">
        <v>2452</v>
      </c>
      <c r="J700" s="151" t="s">
        <v>238</v>
      </c>
      <c r="K700" s="146"/>
    </row>
    <row r="701" spans="1:11" ht="13.5" customHeight="1">
      <c r="A701" s="123"/>
      <c r="B701" s="124"/>
      <c r="C701" s="125" t="s">
        <v>1415</v>
      </c>
      <c r="D701" s="124"/>
      <c r="E701" s="123"/>
      <c r="F701" s="126"/>
      <c r="G701" s="126"/>
      <c r="H701" s="123"/>
      <c r="I701" s="123"/>
      <c r="J701" s="123"/>
      <c r="K701" s="123"/>
    </row>
    <row r="702" spans="1:11" ht="13.5" customHeight="1">
      <c r="A702" s="134" t="s">
        <v>2458</v>
      </c>
      <c r="B702" s="135" t="s">
        <v>2459</v>
      </c>
      <c r="C702" s="152" t="s">
        <v>2460</v>
      </c>
      <c r="D702" s="135" t="s">
        <v>1327</v>
      </c>
      <c r="E702" s="134" t="s">
        <v>2461</v>
      </c>
      <c r="F702" s="137">
        <f>[1]CONFIGURACIÓN!$B$4+287</f>
        <v>46461</v>
      </c>
      <c r="G702" s="137">
        <f>[1]CONFIGURACIÓN!$B$4+307</f>
        <v>46481</v>
      </c>
      <c r="H702" s="134" t="s">
        <v>178</v>
      </c>
      <c r="I702" s="134" t="s">
        <v>2462</v>
      </c>
      <c r="J702" s="134"/>
      <c r="K702" s="134"/>
    </row>
    <row r="703" spans="1:11" ht="13.5" customHeight="1">
      <c r="A703" s="105" t="s">
        <v>2463</v>
      </c>
      <c r="B703" s="106" t="s">
        <v>2464</v>
      </c>
      <c r="C703" s="153" t="s">
        <v>2465</v>
      </c>
      <c r="D703" s="108" t="s">
        <v>252</v>
      </c>
      <c r="E703" s="107" t="s">
        <v>2466</v>
      </c>
      <c r="F703" s="109"/>
      <c r="G703" s="109"/>
      <c r="H703" s="110" t="s">
        <v>2467</v>
      </c>
      <c r="I703" s="111" t="s">
        <v>2462</v>
      </c>
      <c r="J703" s="112" t="s">
        <v>179</v>
      </c>
      <c r="K703" s="107"/>
    </row>
    <row r="704" spans="1:11" ht="13.5" customHeight="1">
      <c r="A704" s="114" t="s">
        <v>2468</v>
      </c>
      <c r="B704" s="106" t="s">
        <v>2469</v>
      </c>
      <c r="C704" s="154" t="s">
        <v>2470</v>
      </c>
      <c r="D704" s="108" t="s">
        <v>221</v>
      </c>
      <c r="E704" s="115" t="s">
        <v>2471</v>
      </c>
      <c r="F704" s="116"/>
      <c r="G704" s="116"/>
      <c r="H704" s="117" t="s">
        <v>178</v>
      </c>
      <c r="I704" s="118" t="s">
        <v>2463</v>
      </c>
      <c r="J704" s="112" t="s">
        <v>179</v>
      </c>
      <c r="K704" s="115"/>
    </row>
    <row r="705" spans="1:11" ht="13.5" customHeight="1">
      <c r="A705" s="105" t="s">
        <v>2472</v>
      </c>
      <c r="B705" s="106" t="s">
        <v>2473</v>
      </c>
      <c r="C705" s="153" t="s">
        <v>2474</v>
      </c>
      <c r="D705" s="108" t="s">
        <v>182</v>
      </c>
      <c r="E705" s="107" t="s">
        <v>2475</v>
      </c>
      <c r="F705" s="109"/>
      <c r="G705" s="109"/>
      <c r="H705" s="110" t="s">
        <v>2476</v>
      </c>
      <c r="I705" s="111" t="s">
        <v>2468</v>
      </c>
      <c r="J705" s="112" t="s">
        <v>179</v>
      </c>
      <c r="K705" s="107"/>
    </row>
    <row r="706" spans="1:11" ht="13.5" customHeight="1">
      <c r="A706" s="114" t="s">
        <v>2477</v>
      </c>
      <c r="B706" s="106" t="s">
        <v>2478</v>
      </c>
      <c r="C706" s="154" t="s">
        <v>2479</v>
      </c>
      <c r="D706" s="108" t="s">
        <v>182</v>
      </c>
      <c r="E706" s="115" t="s">
        <v>2480</v>
      </c>
      <c r="F706" s="116"/>
      <c r="G706" s="116"/>
      <c r="H706" s="117" t="s">
        <v>2481</v>
      </c>
      <c r="I706" s="118" t="s">
        <v>2472</v>
      </c>
      <c r="J706" s="112" t="s">
        <v>179</v>
      </c>
      <c r="K706" s="115"/>
    </row>
    <row r="707" spans="1:11" ht="13.5" customHeight="1">
      <c r="A707" s="105" t="s">
        <v>2482</v>
      </c>
      <c r="B707" s="106" t="s">
        <v>2483</v>
      </c>
      <c r="C707" s="153" t="s">
        <v>2484</v>
      </c>
      <c r="D707" s="108" t="s">
        <v>221</v>
      </c>
      <c r="E707" s="107" t="s">
        <v>2485</v>
      </c>
      <c r="F707" s="109"/>
      <c r="G707" s="109"/>
      <c r="H707" s="110" t="s">
        <v>2486</v>
      </c>
      <c r="I707" s="111" t="s">
        <v>2477</v>
      </c>
      <c r="J707" s="112" t="s">
        <v>179</v>
      </c>
      <c r="K707" s="107"/>
    </row>
    <row r="708" spans="1:11" ht="13.5" customHeight="1">
      <c r="A708" s="146" t="s">
        <v>2487</v>
      </c>
      <c r="B708" s="147" t="s">
        <v>2488</v>
      </c>
      <c r="C708" s="155" t="s">
        <v>2489</v>
      </c>
      <c r="D708" s="147" t="s">
        <v>235</v>
      </c>
      <c r="E708" s="146" t="s">
        <v>236</v>
      </c>
      <c r="F708" s="148"/>
      <c r="G708" s="148"/>
      <c r="H708" s="146" t="s">
        <v>173</v>
      </c>
      <c r="I708" s="146" t="s">
        <v>2482</v>
      </c>
      <c r="J708" s="151" t="s">
        <v>2490</v>
      </c>
      <c r="K708" s="146" t="s">
        <v>168</v>
      </c>
    </row>
    <row r="709" spans="1:11" ht="13.5" customHeight="1">
      <c r="A709" s="123"/>
      <c r="B709" s="124"/>
      <c r="C709" s="125" t="s">
        <v>1415</v>
      </c>
      <c r="D709" s="124"/>
      <c r="E709" s="123"/>
      <c r="F709" s="126"/>
      <c r="G709" s="126"/>
      <c r="H709" s="123"/>
      <c r="I709" s="123"/>
      <c r="J709" s="123"/>
      <c r="K709" s="123"/>
    </row>
    <row r="710" spans="1:11" ht="13.5" customHeight="1">
      <c r="A710" s="134" t="s">
        <v>2491</v>
      </c>
      <c r="B710" s="135">
        <v>23</v>
      </c>
      <c r="C710" s="152" t="s">
        <v>2492</v>
      </c>
      <c r="D710" s="135" t="s">
        <v>202</v>
      </c>
      <c r="E710" s="134" t="s">
        <v>2493</v>
      </c>
      <c r="F710" s="137">
        <f>[1]CONFIGURACIÓN!$B$4+442</f>
        <v>46616</v>
      </c>
      <c r="G710" s="137">
        <f>[1]CONFIGURACIÓN!$B$4+534</f>
        <v>46708</v>
      </c>
      <c r="H710" s="134" t="s">
        <v>2494</v>
      </c>
      <c r="I710" s="134" t="s">
        <v>2495</v>
      </c>
      <c r="J710" s="134"/>
      <c r="K710" s="134"/>
    </row>
    <row r="711" spans="1:11" ht="13.5" customHeight="1">
      <c r="A711" s="105" t="s">
        <v>2496</v>
      </c>
      <c r="B711" s="106">
        <v>23.1</v>
      </c>
      <c r="C711" s="153" t="s">
        <v>2497</v>
      </c>
      <c r="D711" s="108" t="s">
        <v>252</v>
      </c>
      <c r="E711" s="107" t="s">
        <v>2498</v>
      </c>
      <c r="F711" s="109"/>
      <c r="G711" s="109"/>
      <c r="H711" s="110" t="s">
        <v>2499</v>
      </c>
      <c r="I711" s="111" t="s">
        <v>2495</v>
      </c>
      <c r="J711" s="112" t="s">
        <v>179</v>
      </c>
      <c r="K711" s="107"/>
    </row>
    <row r="712" spans="1:11" ht="13.5" customHeight="1">
      <c r="A712" s="114" t="s">
        <v>2500</v>
      </c>
      <c r="B712" s="106">
        <v>23.2</v>
      </c>
      <c r="C712" s="154" t="s">
        <v>2501</v>
      </c>
      <c r="D712" s="108" t="s">
        <v>252</v>
      </c>
      <c r="E712" s="115" t="s">
        <v>2502</v>
      </c>
      <c r="F712" s="116"/>
      <c r="G712" s="116"/>
      <c r="H712" s="117" t="s">
        <v>2503</v>
      </c>
      <c r="I712" s="118" t="s">
        <v>2496</v>
      </c>
      <c r="J712" s="112" t="s">
        <v>179</v>
      </c>
      <c r="K712" s="115"/>
    </row>
    <row r="713" spans="1:11" ht="13.5" customHeight="1">
      <c r="A713" s="105" t="s">
        <v>2504</v>
      </c>
      <c r="B713" s="106">
        <v>23.3</v>
      </c>
      <c r="C713" s="153" t="s">
        <v>2505</v>
      </c>
      <c r="D713" s="108" t="s">
        <v>182</v>
      </c>
      <c r="E713" s="107" t="s">
        <v>2506</v>
      </c>
      <c r="F713" s="109"/>
      <c r="G713" s="109"/>
      <c r="H713" s="110" t="s">
        <v>2507</v>
      </c>
      <c r="I713" s="111" t="s">
        <v>2500</v>
      </c>
      <c r="J713" s="112" t="s">
        <v>179</v>
      </c>
      <c r="K713" s="107"/>
    </row>
    <row r="714" spans="1:11" ht="13.5" customHeight="1">
      <c r="A714" s="114" t="s">
        <v>2508</v>
      </c>
      <c r="B714" s="106">
        <v>23.4</v>
      </c>
      <c r="C714" s="154" t="s">
        <v>2509</v>
      </c>
      <c r="D714" s="108" t="s">
        <v>226</v>
      </c>
      <c r="E714" s="115" t="s">
        <v>2510</v>
      </c>
      <c r="F714" s="116"/>
      <c r="G714" s="116"/>
      <c r="H714" s="117" t="s">
        <v>184</v>
      </c>
      <c r="I714" s="118" t="s">
        <v>2504</v>
      </c>
      <c r="J714" s="112" t="s">
        <v>179</v>
      </c>
      <c r="K714" s="115"/>
    </row>
    <row r="715" spans="1:11" ht="13.5" customHeight="1">
      <c r="A715" s="146" t="s">
        <v>2511</v>
      </c>
      <c r="B715" s="147" t="s">
        <v>2512</v>
      </c>
      <c r="C715" s="155" t="s">
        <v>2513</v>
      </c>
      <c r="D715" s="147" t="s">
        <v>235</v>
      </c>
      <c r="E715" s="146" t="s">
        <v>236</v>
      </c>
      <c r="F715" s="148"/>
      <c r="G715" s="148"/>
      <c r="H715" s="146" t="s">
        <v>184</v>
      </c>
      <c r="I715" s="146" t="s">
        <v>2508</v>
      </c>
      <c r="J715" s="151" t="s">
        <v>1057</v>
      </c>
      <c r="K715" s="146" t="s">
        <v>168</v>
      </c>
    </row>
    <row r="716" spans="1:11" ht="13.5" customHeight="1">
      <c r="A716" s="123"/>
      <c r="B716" s="124"/>
      <c r="C716" s="125" t="s">
        <v>1415</v>
      </c>
      <c r="D716" s="124"/>
      <c r="E716" s="123"/>
      <c r="F716" s="126"/>
      <c r="G716" s="126"/>
      <c r="H716" s="123"/>
      <c r="I716" s="123"/>
      <c r="J716" s="123"/>
      <c r="K716" s="123"/>
    </row>
    <row r="717" spans="1:11" ht="13.5" customHeight="1">
      <c r="A717" s="134" t="s">
        <v>2514</v>
      </c>
      <c r="B717" s="135" t="s">
        <v>2515</v>
      </c>
      <c r="C717" s="152" t="s">
        <v>2516</v>
      </c>
      <c r="D717" s="135" t="s">
        <v>1200</v>
      </c>
      <c r="E717" s="134" t="s">
        <v>2517</v>
      </c>
      <c r="F717" s="137">
        <f>[1]CONFIGURACIÓN!$B$4+460</f>
        <v>46634</v>
      </c>
      <c r="G717" s="137">
        <f>[1]CONFIGURACIÓN!$B$4+550</f>
        <v>46724</v>
      </c>
      <c r="H717" s="134" t="s">
        <v>2518</v>
      </c>
      <c r="I717" s="134" t="s">
        <v>2495</v>
      </c>
      <c r="J717" s="134"/>
      <c r="K717" s="134"/>
    </row>
    <row r="718" spans="1:11" ht="13.5" customHeight="1">
      <c r="A718" s="114" t="s">
        <v>2519</v>
      </c>
      <c r="B718" s="106" t="s">
        <v>2520</v>
      </c>
      <c r="C718" s="154" t="s">
        <v>2521</v>
      </c>
      <c r="D718" s="108" t="s">
        <v>182</v>
      </c>
      <c r="E718" s="115" t="s">
        <v>2522</v>
      </c>
      <c r="F718" s="116"/>
      <c r="G718" s="116"/>
      <c r="H718" s="117" t="s">
        <v>2523</v>
      </c>
      <c r="I718" s="118" t="s">
        <v>2495</v>
      </c>
      <c r="J718" s="112" t="s">
        <v>179</v>
      </c>
      <c r="K718" s="115"/>
    </row>
    <row r="719" spans="1:11" ht="13.5" customHeight="1">
      <c r="A719" s="105" t="s">
        <v>2524</v>
      </c>
      <c r="B719" s="106" t="s">
        <v>2525</v>
      </c>
      <c r="C719" s="153" t="s">
        <v>2526</v>
      </c>
      <c r="D719" s="108" t="s">
        <v>359</v>
      </c>
      <c r="E719" s="107" t="s">
        <v>2527</v>
      </c>
      <c r="F719" s="109"/>
      <c r="G719" s="109"/>
      <c r="H719" s="110" t="s">
        <v>2528</v>
      </c>
      <c r="I719" s="111" t="s">
        <v>2519</v>
      </c>
      <c r="J719" s="112" t="s">
        <v>179</v>
      </c>
      <c r="K719" s="107"/>
    </row>
    <row r="720" spans="1:11" ht="13.5" customHeight="1">
      <c r="A720" s="114" t="s">
        <v>2529</v>
      </c>
      <c r="B720" s="106" t="s">
        <v>2530</v>
      </c>
      <c r="C720" s="154" t="s">
        <v>2531</v>
      </c>
      <c r="D720" s="108" t="s">
        <v>309</v>
      </c>
      <c r="E720" s="115" t="s">
        <v>2532</v>
      </c>
      <c r="F720" s="116"/>
      <c r="G720" s="116"/>
      <c r="H720" s="117" t="s">
        <v>2533</v>
      </c>
      <c r="I720" s="118" t="s">
        <v>2524</v>
      </c>
      <c r="J720" s="112" t="s">
        <v>179</v>
      </c>
      <c r="K720" s="115"/>
    </row>
    <row r="721" spans="1:11" ht="13.5" customHeight="1">
      <c r="A721" s="146" t="s">
        <v>2534</v>
      </c>
      <c r="B721" s="147" t="s">
        <v>2535</v>
      </c>
      <c r="C721" s="155" t="s">
        <v>2536</v>
      </c>
      <c r="D721" s="147" t="s">
        <v>235</v>
      </c>
      <c r="E721" s="146" t="s">
        <v>236</v>
      </c>
      <c r="F721" s="148"/>
      <c r="G721" s="148"/>
      <c r="H721" s="146" t="s">
        <v>173</v>
      </c>
      <c r="I721" s="146" t="s">
        <v>2529</v>
      </c>
      <c r="J721" s="151" t="s">
        <v>2490</v>
      </c>
      <c r="K721" s="146" t="s">
        <v>168</v>
      </c>
    </row>
    <row r="722" spans="1:11" ht="13.5" customHeight="1">
      <c r="A722" s="134" t="s">
        <v>2537</v>
      </c>
      <c r="B722" s="135">
        <v>26</v>
      </c>
      <c r="C722" s="134" t="s">
        <v>2538</v>
      </c>
      <c r="D722" s="135" t="s">
        <v>1200</v>
      </c>
      <c r="E722" s="136" t="s">
        <v>2539</v>
      </c>
      <c r="F722" s="137">
        <f>[1]CONFIGURACIÓN!$B$4+559</f>
        <v>46733</v>
      </c>
      <c r="G722" s="137">
        <f>[1]CONFIGURACIÓN!$B$4+574</f>
        <v>46748</v>
      </c>
      <c r="H722" s="138" t="s">
        <v>2540</v>
      </c>
      <c r="I722" s="139" t="s">
        <v>2541</v>
      </c>
      <c r="J722" s="134"/>
      <c r="K722" s="134"/>
    </row>
    <row r="723" spans="1:11" ht="13.5" customHeight="1">
      <c r="A723" s="114" t="s">
        <v>2542</v>
      </c>
      <c r="B723" s="106">
        <v>26.1</v>
      </c>
      <c r="C723" s="143" t="s">
        <v>2543</v>
      </c>
      <c r="D723" s="108" t="s">
        <v>182</v>
      </c>
      <c r="E723" s="115" t="s">
        <v>2544</v>
      </c>
      <c r="F723" s="116"/>
      <c r="G723" s="116"/>
      <c r="H723" s="144" t="s">
        <v>2545</v>
      </c>
      <c r="I723" s="145" t="s">
        <v>2546</v>
      </c>
      <c r="J723" s="112" t="s">
        <v>179</v>
      </c>
      <c r="K723" s="115"/>
    </row>
    <row r="724" spans="1:11" ht="13.5" customHeight="1">
      <c r="A724" s="105" t="s">
        <v>2547</v>
      </c>
      <c r="B724" s="106">
        <v>26.2</v>
      </c>
      <c r="C724" s="140" t="s">
        <v>2548</v>
      </c>
      <c r="D724" s="108" t="s">
        <v>221</v>
      </c>
      <c r="E724" s="107" t="s">
        <v>2549</v>
      </c>
      <c r="F724" s="109"/>
      <c r="G724" s="109"/>
      <c r="H724" s="141" t="s">
        <v>2550</v>
      </c>
      <c r="I724" s="142" t="s">
        <v>2542</v>
      </c>
      <c r="J724" s="112" t="s">
        <v>179</v>
      </c>
      <c r="K724" s="107"/>
    </row>
    <row r="725" spans="1:11" ht="13.5" customHeight="1">
      <c r="A725" s="114" t="s">
        <v>2551</v>
      </c>
      <c r="B725" s="106">
        <v>26.3</v>
      </c>
      <c r="C725" s="143" t="s">
        <v>2552</v>
      </c>
      <c r="D725" s="108" t="s">
        <v>221</v>
      </c>
      <c r="E725" s="115" t="s">
        <v>2553</v>
      </c>
      <c r="F725" s="116"/>
      <c r="G725" s="116"/>
      <c r="H725" s="144" t="s">
        <v>184</v>
      </c>
      <c r="I725" s="145" t="s">
        <v>2547</v>
      </c>
      <c r="J725" s="112" t="s">
        <v>179</v>
      </c>
      <c r="K725" s="115"/>
    </row>
    <row r="726" spans="1:11" ht="13.5" customHeight="1">
      <c r="A726" s="105" t="s">
        <v>2554</v>
      </c>
      <c r="B726" s="106">
        <v>26.4</v>
      </c>
      <c r="C726" s="140" t="s">
        <v>2555</v>
      </c>
      <c r="D726" s="108" t="s">
        <v>226</v>
      </c>
      <c r="E726" s="107" t="s">
        <v>2556</v>
      </c>
      <c r="F726" s="109"/>
      <c r="G726" s="109"/>
      <c r="H726" s="141" t="s">
        <v>184</v>
      </c>
      <c r="I726" s="142" t="s">
        <v>2551</v>
      </c>
      <c r="J726" s="112" t="s">
        <v>179</v>
      </c>
      <c r="K726" s="107"/>
    </row>
    <row r="727" spans="1:11" ht="13.5" customHeight="1">
      <c r="A727" s="114" t="s">
        <v>2557</v>
      </c>
      <c r="B727" s="106">
        <v>26.5</v>
      </c>
      <c r="C727" s="143" t="s">
        <v>2558</v>
      </c>
      <c r="D727" s="108" t="s">
        <v>226</v>
      </c>
      <c r="E727" s="115" t="s">
        <v>2559</v>
      </c>
      <c r="F727" s="116"/>
      <c r="G727" s="116"/>
      <c r="H727" s="144" t="s">
        <v>2518</v>
      </c>
      <c r="I727" s="145" t="s">
        <v>2554</v>
      </c>
      <c r="J727" s="112" t="s">
        <v>179</v>
      </c>
      <c r="K727" s="115"/>
    </row>
    <row r="728" spans="1:11" ht="13.5" customHeight="1">
      <c r="A728" s="105" t="s">
        <v>2560</v>
      </c>
      <c r="B728" s="106">
        <v>26.6</v>
      </c>
      <c r="C728" s="140" t="s">
        <v>2561</v>
      </c>
      <c r="D728" s="108" t="s">
        <v>226</v>
      </c>
      <c r="E728" s="107" t="s">
        <v>2562</v>
      </c>
      <c r="F728" s="109"/>
      <c r="G728" s="109"/>
      <c r="H728" s="141" t="s">
        <v>173</v>
      </c>
      <c r="I728" s="142" t="s">
        <v>2557</v>
      </c>
      <c r="J728" s="112" t="s">
        <v>179</v>
      </c>
      <c r="K728" s="107"/>
    </row>
    <row r="729" spans="1:11" ht="13.5" customHeight="1">
      <c r="A729" s="114" t="s">
        <v>2563</v>
      </c>
      <c r="B729" s="106">
        <v>26.7</v>
      </c>
      <c r="C729" s="143" t="s">
        <v>2564</v>
      </c>
      <c r="D729" s="108" t="s">
        <v>226</v>
      </c>
      <c r="E729" s="115" t="s">
        <v>2565</v>
      </c>
      <c r="F729" s="116"/>
      <c r="G729" s="116"/>
      <c r="H729" s="144" t="s">
        <v>2566</v>
      </c>
      <c r="I729" s="145" t="s">
        <v>2557</v>
      </c>
      <c r="J729" s="112" t="s">
        <v>179</v>
      </c>
      <c r="K729" s="115"/>
    </row>
    <row r="730" spans="1:11" ht="13.5" customHeight="1">
      <c r="A730" s="105" t="s">
        <v>2567</v>
      </c>
      <c r="B730" s="106">
        <v>26.8</v>
      </c>
      <c r="C730" s="140" t="s">
        <v>2568</v>
      </c>
      <c r="D730" s="108" t="s">
        <v>221</v>
      </c>
      <c r="E730" s="107" t="s">
        <v>2569</v>
      </c>
      <c r="F730" s="109"/>
      <c r="G730" s="109"/>
      <c r="H730" s="141" t="s">
        <v>173</v>
      </c>
      <c r="I730" s="142" t="s">
        <v>2560</v>
      </c>
      <c r="J730" s="112" t="s">
        <v>179</v>
      </c>
      <c r="K730" s="107"/>
    </row>
    <row r="731" spans="1:11" ht="13.5" customHeight="1">
      <c r="A731" s="114" t="s">
        <v>2570</v>
      </c>
      <c r="B731" s="106">
        <v>26.9</v>
      </c>
      <c r="C731" s="143" t="s">
        <v>2571</v>
      </c>
      <c r="D731" s="108" t="s">
        <v>182</v>
      </c>
      <c r="E731" s="115" t="s">
        <v>2572</v>
      </c>
      <c r="F731" s="116"/>
      <c r="G731" s="116"/>
      <c r="H731" s="144" t="s">
        <v>218</v>
      </c>
      <c r="I731" s="145" t="s">
        <v>2563</v>
      </c>
      <c r="J731" s="112" t="s">
        <v>179</v>
      </c>
      <c r="K731" s="115"/>
    </row>
    <row r="732" spans="1:11" ht="13.5" customHeight="1">
      <c r="A732" s="105" t="s">
        <v>2573</v>
      </c>
      <c r="B732" s="106">
        <v>26.1</v>
      </c>
      <c r="C732" s="140" t="s">
        <v>2574</v>
      </c>
      <c r="D732" s="108" t="s">
        <v>176</v>
      </c>
      <c r="E732" s="107" t="s">
        <v>2575</v>
      </c>
      <c r="F732" s="109"/>
      <c r="G732" s="109"/>
      <c r="H732" s="141" t="s">
        <v>2550</v>
      </c>
      <c r="I732" s="142" t="s">
        <v>2567</v>
      </c>
      <c r="J732" s="112" t="s">
        <v>179</v>
      </c>
      <c r="K732" s="107"/>
    </row>
    <row r="733" spans="1:11" ht="13.5" customHeight="1">
      <c r="A733" s="146" t="s">
        <v>2576</v>
      </c>
      <c r="B733" s="147" t="s">
        <v>2577</v>
      </c>
      <c r="C733" s="146" t="s">
        <v>2578</v>
      </c>
      <c r="D733" s="147" t="s">
        <v>235</v>
      </c>
      <c r="E733" s="146" t="s">
        <v>236</v>
      </c>
      <c r="F733" s="148"/>
      <c r="G733" s="148"/>
      <c r="H733" s="149" t="s">
        <v>173</v>
      </c>
      <c r="I733" s="150" t="s">
        <v>2573</v>
      </c>
      <c r="J733" s="151" t="s">
        <v>2579</v>
      </c>
      <c r="K733" s="146"/>
    </row>
    <row r="734" spans="1:11" ht="13.5" customHeight="1">
      <c r="A734" s="156"/>
      <c r="B734" s="157"/>
      <c r="C734" s="158" t="s">
        <v>1415</v>
      </c>
      <c r="D734" s="157"/>
      <c r="E734" s="156"/>
      <c r="F734" s="159"/>
      <c r="G734" s="159"/>
      <c r="H734" s="156"/>
      <c r="I734" s="156"/>
      <c r="J734" s="156"/>
      <c r="K734" s="156"/>
    </row>
    <row r="735" spans="1:11" ht="13.5" customHeight="1">
      <c r="A735" s="160" t="s">
        <v>2580</v>
      </c>
      <c r="B735" s="161">
        <v>27</v>
      </c>
      <c r="C735" s="160" t="s">
        <v>2581</v>
      </c>
      <c r="D735" s="161" t="s">
        <v>2582</v>
      </c>
      <c r="E735" s="162" t="s">
        <v>2583</v>
      </c>
      <c r="F735" s="163">
        <f>[1]CONFIGURACIÓN!$B$4+575</f>
        <v>46749</v>
      </c>
      <c r="G735" s="163">
        <f>[1]CONFIGURACIÓN!$B$4+625</f>
        <v>46799</v>
      </c>
      <c r="H735" s="164" t="s">
        <v>2584</v>
      </c>
      <c r="I735" s="165" t="s">
        <v>2585</v>
      </c>
      <c r="J735" s="160"/>
      <c r="K735" s="160"/>
    </row>
    <row r="736" spans="1:11" ht="13.5" customHeight="1">
      <c r="A736" s="166" t="s">
        <v>2586</v>
      </c>
      <c r="B736" s="167">
        <v>27.1</v>
      </c>
      <c r="C736" s="168" t="s">
        <v>2587</v>
      </c>
      <c r="D736" s="169" t="s">
        <v>2582</v>
      </c>
      <c r="E736" s="170" t="s">
        <v>2588</v>
      </c>
      <c r="F736" s="171"/>
      <c r="G736" s="171"/>
      <c r="H736" s="172" t="s">
        <v>2584</v>
      </c>
      <c r="I736" s="173" t="s">
        <v>2585</v>
      </c>
      <c r="J736" s="169" t="s">
        <v>179</v>
      </c>
      <c r="K736" s="170"/>
    </row>
    <row r="737" spans="1:11" ht="13.5" customHeight="1">
      <c r="A737" s="166" t="s">
        <v>2589</v>
      </c>
      <c r="B737" s="167">
        <v>27.2</v>
      </c>
      <c r="C737" s="168" t="s">
        <v>2590</v>
      </c>
      <c r="D737" s="169" t="s">
        <v>182</v>
      </c>
      <c r="E737" s="170" t="s">
        <v>2591</v>
      </c>
      <c r="F737" s="171"/>
      <c r="G737" s="171"/>
      <c r="H737" s="172" t="s">
        <v>2592</v>
      </c>
      <c r="I737" s="173" t="s">
        <v>2585</v>
      </c>
      <c r="J737" s="169" t="s">
        <v>179</v>
      </c>
      <c r="K737" s="170"/>
    </row>
    <row r="738" spans="1:11" ht="13.5" customHeight="1">
      <c r="A738" s="166" t="s">
        <v>2593</v>
      </c>
      <c r="B738" s="167">
        <v>27.3</v>
      </c>
      <c r="C738" s="168" t="s">
        <v>2594</v>
      </c>
      <c r="D738" s="169" t="s">
        <v>176</v>
      </c>
      <c r="E738" s="170" t="s">
        <v>2595</v>
      </c>
      <c r="F738" s="171"/>
      <c r="G738" s="171"/>
      <c r="H738" s="172" t="s">
        <v>2592</v>
      </c>
      <c r="I738" s="173" t="s">
        <v>2589</v>
      </c>
      <c r="J738" s="169" t="s">
        <v>179</v>
      </c>
      <c r="K738" s="170"/>
    </row>
    <row r="739" spans="1:11" ht="13.5" customHeight="1">
      <c r="A739" s="166" t="s">
        <v>2596</v>
      </c>
      <c r="B739" s="167">
        <v>27.4</v>
      </c>
      <c r="C739" s="168" t="s">
        <v>2597</v>
      </c>
      <c r="D739" s="169" t="s">
        <v>221</v>
      </c>
      <c r="E739" s="170" t="s">
        <v>2598</v>
      </c>
      <c r="F739" s="171"/>
      <c r="G739" s="171"/>
      <c r="H739" s="172" t="s">
        <v>2599</v>
      </c>
      <c r="I739" s="173" t="s">
        <v>2593</v>
      </c>
      <c r="J739" s="169" t="s">
        <v>179</v>
      </c>
      <c r="K739" s="170"/>
    </row>
    <row r="740" spans="1:11" ht="13.5" customHeight="1">
      <c r="A740" s="166" t="s">
        <v>2600</v>
      </c>
      <c r="B740" s="167">
        <v>27.5</v>
      </c>
      <c r="C740" s="168" t="s">
        <v>2601</v>
      </c>
      <c r="D740" s="169" t="s">
        <v>182</v>
      </c>
      <c r="E740" s="170" t="s">
        <v>2602</v>
      </c>
      <c r="F740" s="171"/>
      <c r="G740" s="171"/>
      <c r="H740" s="172" t="s">
        <v>2603</v>
      </c>
      <c r="I740" s="173" t="s">
        <v>2596</v>
      </c>
      <c r="J740" s="169" t="s">
        <v>179</v>
      </c>
      <c r="K740" s="170"/>
    </row>
    <row r="741" spans="1:11" ht="13.5" customHeight="1">
      <c r="A741" s="166" t="s">
        <v>2604</v>
      </c>
      <c r="B741" s="167">
        <v>27.6</v>
      </c>
      <c r="C741" s="168" t="s">
        <v>2605</v>
      </c>
      <c r="D741" s="169" t="s">
        <v>1333</v>
      </c>
      <c r="E741" s="170" t="s">
        <v>2606</v>
      </c>
      <c r="F741" s="171"/>
      <c r="G741" s="171"/>
      <c r="H741" s="172" t="s">
        <v>2584</v>
      </c>
      <c r="I741" s="173" t="s">
        <v>2600</v>
      </c>
      <c r="J741" s="169" t="s">
        <v>179</v>
      </c>
      <c r="K741" s="170"/>
    </row>
    <row r="742" spans="1:11" ht="13.5" customHeight="1">
      <c r="A742" s="166" t="s">
        <v>2607</v>
      </c>
      <c r="B742" s="167">
        <v>27.7</v>
      </c>
      <c r="C742" s="168" t="s">
        <v>2608</v>
      </c>
      <c r="D742" s="169" t="s">
        <v>226</v>
      </c>
      <c r="E742" s="170" t="s">
        <v>2609</v>
      </c>
      <c r="F742" s="171"/>
      <c r="G742" s="171"/>
      <c r="H742" s="172" t="s">
        <v>1304</v>
      </c>
      <c r="I742" s="173" t="s">
        <v>2585</v>
      </c>
      <c r="J742" s="169" t="s">
        <v>179</v>
      </c>
      <c r="K742" s="170"/>
    </row>
    <row r="743" spans="1:11" ht="13.5" customHeight="1">
      <c r="A743" s="166" t="s">
        <v>2610</v>
      </c>
      <c r="B743" s="167">
        <v>27.8</v>
      </c>
      <c r="C743" s="168" t="s">
        <v>2611</v>
      </c>
      <c r="D743" s="169" t="s">
        <v>182</v>
      </c>
      <c r="E743" s="170" t="s">
        <v>2612</v>
      </c>
      <c r="F743" s="171"/>
      <c r="G743" s="171"/>
      <c r="H743" s="172" t="s">
        <v>2613</v>
      </c>
      <c r="I743" s="173" t="s">
        <v>2604</v>
      </c>
      <c r="J743" s="169" t="s">
        <v>179</v>
      </c>
      <c r="K743" s="170"/>
    </row>
    <row r="744" spans="1:11" ht="13.5" customHeight="1">
      <c r="A744" s="174" t="s">
        <v>2614</v>
      </c>
      <c r="B744" s="175" t="s">
        <v>2615</v>
      </c>
      <c r="C744" s="174" t="s">
        <v>2616</v>
      </c>
      <c r="D744" s="175" t="s">
        <v>235</v>
      </c>
      <c r="E744" s="174" t="s">
        <v>236</v>
      </c>
      <c r="F744" s="176"/>
      <c r="G744" s="176"/>
      <c r="H744" s="177" t="s">
        <v>173</v>
      </c>
      <c r="I744" s="178" t="s">
        <v>2610</v>
      </c>
      <c r="J744" s="175" t="s">
        <v>2579</v>
      </c>
      <c r="K744" s="174"/>
    </row>
    <row r="745" spans="1:11" ht="13.5" customHeight="1">
      <c r="A745" s="156"/>
      <c r="B745" s="157"/>
      <c r="C745" s="158" t="s">
        <v>1415</v>
      </c>
      <c r="D745" s="157"/>
      <c r="E745" s="156"/>
      <c r="F745" s="159"/>
      <c r="G745" s="159"/>
      <c r="H745" s="156"/>
      <c r="I745" s="156"/>
      <c r="J745" s="156"/>
      <c r="K745" s="156"/>
    </row>
    <row r="746" spans="1:11" ht="13.5" customHeight="1">
      <c r="A746" s="179" t="s">
        <v>2617</v>
      </c>
      <c r="B746" s="180" t="s">
        <v>2618</v>
      </c>
      <c r="C746" s="179" t="s">
        <v>2619</v>
      </c>
      <c r="D746" s="180" t="s">
        <v>1131</v>
      </c>
      <c r="E746" s="181" t="s">
        <v>2620</v>
      </c>
      <c r="F746" s="182">
        <f>[1]CONFIGURACIÓN!$B$4+460</f>
        <v>46634</v>
      </c>
      <c r="G746" s="182">
        <f>[1]CONFIGURACIÓN!$B$4+550</f>
        <v>46724</v>
      </c>
      <c r="H746" s="183" t="s">
        <v>2621</v>
      </c>
      <c r="I746" s="184" t="s">
        <v>2622</v>
      </c>
      <c r="J746" s="179"/>
      <c r="K746" s="179"/>
    </row>
    <row r="747" spans="1:11" ht="13.5" customHeight="1">
      <c r="A747" s="114" t="s">
        <v>2623</v>
      </c>
      <c r="B747" s="106" t="s">
        <v>2624</v>
      </c>
      <c r="C747" s="143" t="s">
        <v>2625</v>
      </c>
      <c r="D747" s="108" t="s">
        <v>176</v>
      </c>
      <c r="E747" s="115" t="s">
        <v>2626</v>
      </c>
      <c r="F747" s="116"/>
      <c r="G747" s="116"/>
      <c r="H747" s="144" t="s">
        <v>2627</v>
      </c>
      <c r="I747" s="145" t="s">
        <v>2628</v>
      </c>
      <c r="J747" s="112" t="s">
        <v>179</v>
      </c>
      <c r="K747" s="115"/>
    </row>
    <row r="748" spans="1:11" ht="13.5" customHeight="1">
      <c r="A748" s="105" t="s">
        <v>2629</v>
      </c>
      <c r="B748" s="106" t="s">
        <v>2630</v>
      </c>
      <c r="C748" s="140" t="s">
        <v>2631</v>
      </c>
      <c r="D748" s="108" t="s">
        <v>182</v>
      </c>
      <c r="E748" s="107" t="s">
        <v>2632</v>
      </c>
      <c r="F748" s="109"/>
      <c r="G748" s="109"/>
      <c r="H748" s="141" t="s">
        <v>2633</v>
      </c>
      <c r="I748" s="142" t="s">
        <v>2623</v>
      </c>
      <c r="J748" s="112" t="s">
        <v>179</v>
      </c>
      <c r="K748" s="107"/>
    </row>
    <row r="749" spans="1:11" ht="13.5" customHeight="1">
      <c r="A749" s="114" t="s">
        <v>2634</v>
      </c>
      <c r="B749" s="106" t="s">
        <v>2635</v>
      </c>
      <c r="C749" s="143" t="s">
        <v>2636</v>
      </c>
      <c r="D749" s="108" t="s">
        <v>221</v>
      </c>
      <c r="E749" s="115" t="s">
        <v>2637</v>
      </c>
      <c r="F749" s="116"/>
      <c r="G749" s="116"/>
      <c r="H749" s="144" t="s">
        <v>2518</v>
      </c>
      <c r="I749" s="145" t="s">
        <v>2629</v>
      </c>
      <c r="J749" s="112" t="s">
        <v>179</v>
      </c>
      <c r="K749" s="115"/>
    </row>
    <row r="750" spans="1:11" ht="13.5" customHeight="1">
      <c r="A750" s="105" t="s">
        <v>2638</v>
      </c>
      <c r="B750" s="106" t="s">
        <v>2639</v>
      </c>
      <c r="C750" s="140" t="s">
        <v>2640</v>
      </c>
      <c r="D750" s="108" t="s">
        <v>182</v>
      </c>
      <c r="E750" s="107" t="s">
        <v>2641</v>
      </c>
      <c r="F750" s="109"/>
      <c r="G750" s="109"/>
      <c r="H750" s="141" t="s">
        <v>2528</v>
      </c>
      <c r="I750" s="142" t="s">
        <v>2634</v>
      </c>
      <c r="J750" s="112" t="s">
        <v>179</v>
      </c>
      <c r="K750" s="107"/>
    </row>
    <row r="751" spans="1:11" ht="13.5" customHeight="1">
      <c r="A751" s="114" t="s">
        <v>2642</v>
      </c>
      <c r="B751" s="106" t="s">
        <v>2643</v>
      </c>
      <c r="C751" s="143" t="s">
        <v>2644</v>
      </c>
      <c r="D751" s="108" t="s">
        <v>309</v>
      </c>
      <c r="E751" s="115" t="s">
        <v>2645</v>
      </c>
      <c r="F751" s="116"/>
      <c r="G751" s="116"/>
      <c r="H751" s="144" t="s">
        <v>2518</v>
      </c>
      <c r="I751" s="145" t="s">
        <v>2638</v>
      </c>
      <c r="J751" s="112" t="s">
        <v>179</v>
      </c>
      <c r="K751" s="115"/>
    </row>
    <row r="752" spans="1:11" ht="13.5" customHeight="1">
      <c r="A752" s="105" t="s">
        <v>2646</v>
      </c>
      <c r="B752" s="106" t="s">
        <v>2647</v>
      </c>
      <c r="C752" s="140" t="s">
        <v>2648</v>
      </c>
      <c r="D752" s="108" t="s">
        <v>221</v>
      </c>
      <c r="E752" s="107" t="s">
        <v>2649</v>
      </c>
      <c r="F752" s="109"/>
      <c r="G752" s="109"/>
      <c r="H752" s="141" t="s">
        <v>2650</v>
      </c>
      <c r="I752" s="142" t="s">
        <v>2642</v>
      </c>
      <c r="J752" s="112" t="s">
        <v>179</v>
      </c>
      <c r="K752" s="107"/>
    </row>
    <row r="753" spans="1:11" ht="13.5" customHeight="1">
      <c r="A753" s="114" t="s">
        <v>2651</v>
      </c>
      <c r="B753" s="106" t="s">
        <v>2652</v>
      </c>
      <c r="C753" s="143" t="s">
        <v>2653</v>
      </c>
      <c r="D753" s="108" t="s">
        <v>255</v>
      </c>
      <c r="E753" s="115" t="s">
        <v>2654</v>
      </c>
      <c r="F753" s="116"/>
      <c r="G753" s="116"/>
      <c r="H753" s="144" t="s">
        <v>173</v>
      </c>
      <c r="I753" s="145" t="s">
        <v>2646</v>
      </c>
      <c r="J753" s="112" t="s">
        <v>179</v>
      </c>
      <c r="K753" s="115"/>
    </row>
    <row r="754" spans="1:11" ht="13.5" customHeight="1">
      <c r="A754" s="105" t="s">
        <v>2655</v>
      </c>
      <c r="B754" s="106" t="s">
        <v>2656</v>
      </c>
      <c r="C754" s="140" t="s">
        <v>2657</v>
      </c>
      <c r="D754" s="108" t="s">
        <v>226</v>
      </c>
      <c r="E754" s="107" t="s">
        <v>2658</v>
      </c>
      <c r="F754" s="109"/>
      <c r="G754" s="109"/>
      <c r="H754" s="141" t="s">
        <v>2659</v>
      </c>
      <c r="I754" s="142" t="s">
        <v>2651</v>
      </c>
      <c r="J754" s="112" t="s">
        <v>179</v>
      </c>
      <c r="K754" s="107"/>
    </row>
    <row r="755" spans="1:11" ht="13.5" customHeight="1">
      <c r="A755" s="105"/>
      <c r="B755" s="147"/>
      <c r="C755" s="146" t="s">
        <v>1452</v>
      </c>
      <c r="D755" s="147"/>
      <c r="E755" s="146"/>
      <c r="F755" s="148"/>
      <c r="G755" s="148"/>
      <c r="H755" s="149"/>
      <c r="I755" s="150"/>
      <c r="J755" s="151"/>
      <c r="K755" s="146"/>
    </row>
    <row r="756" spans="1:11" ht="13.5" customHeight="1">
      <c r="A756" s="105" t="s">
        <v>2660</v>
      </c>
      <c r="B756" s="77" t="s">
        <v>2661</v>
      </c>
      <c r="C756" s="113" t="s">
        <v>2662</v>
      </c>
      <c r="D756" s="77" t="s">
        <v>2663</v>
      </c>
      <c r="E756" s="113" t="s">
        <v>2664</v>
      </c>
      <c r="F756" s="185">
        <v>46198</v>
      </c>
      <c r="G756" s="185">
        <v>46261</v>
      </c>
      <c r="H756" s="113" t="s">
        <v>184</v>
      </c>
      <c r="I756" s="113" t="s">
        <v>1336</v>
      </c>
      <c r="J756" s="113" t="s">
        <v>1458</v>
      </c>
      <c r="K756" s="113"/>
    </row>
    <row r="757" spans="1:11" ht="13.5" customHeight="1">
      <c r="A757" s="105" t="s">
        <v>2665</v>
      </c>
      <c r="B757" s="186" t="s">
        <v>2666</v>
      </c>
      <c r="C757" s="186" t="s">
        <v>2667</v>
      </c>
      <c r="D757" s="186" t="s">
        <v>235</v>
      </c>
      <c r="E757" s="186"/>
      <c r="F757" s="187"/>
      <c r="G757" s="187"/>
      <c r="H757" s="186" t="s">
        <v>2668</v>
      </c>
      <c r="I757" s="186" t="s">
        <v>2660</v>
      </c>
      <c r="J757" s="186" t="s">
        <v>1458</v>
      </c>
      <c r="K757" s="186"/>
    </row>
    <row r="758" spans="1:11" ht="13.5" customHeight="1">
      <c r="A758" s="105" t="s">
        <v>2669</v>
      </c>
      <c r="B758" s="71" t="s">
        <v>2669</v>
      </c>
      <c r="C758" s="58" t="s">
        <v>2670</v>
      </c>
      <c r="D758" s="71" t="s">
        <v>255</v>
      </c>
      <c r="E758" s="58" t="s">
        <v>2671</v>
      </c>
      <c r="H758" s="58" t="s">
        <v>2013</v>
      </c>
      <c r="I758" s="58" t="s">
        <v>2665</v>
      </c>
      <c r="J758" s="58" t="s">
        <v>1458</v>
      </c>
    </row>
    <row r="759" spans="1:11" ht="13.5" customHeight="1">
      <c r="A759" s="105" t="s">
        <v>2672</v>
      </c>
      <c r="B759" s="71" t="s">
        <v>2672</v>
      </c>
      <c r="C759" s="58" t="s">
        <v>2673</v>
      </c>
      <c r="D759" s="71" t="s">
        <v>255</v>
      </c>
      <c r="E759" s="58" t="s">
        <v>2674</v>
      </c>
      <c r="H759" s="58" t="s">
        <v>1464</v>
      </c>
      <c r="I759" s="58" t="s">
        <v>2669</v>
      </c>
      <c r="J759" s="58" t="s">
        <v>1458</v>
      </c>
    </row>
    <row r="760" spans="1:11" ht="13.5" customHeight="1">
      <c r="A760" s="105" t="s">
        <v>2675</v>
      </c>
      <c r="B760" s="71" t="s">
        <v>2675</v>
      </c>
      <c r="C760" s="58" t="s">
        <v>2676</v>
      </c>
      <c r="D760" s="71" t="s">
        <v>221</v>
      </c>
      <c r="E760" s="58" t="s">
        <v>2677</v>
      </c>
      <c r="H760" s="58" t="s">
        <v>2018</v>
      </c>
      <c r="I760" s="58" t="s">
        <v>2672</v>
      </c>
      <c r="J760" s="58" t="s">
        <v>1458</v>
      </c>
    </row>
    <row r="761" spans="1:11" ht="13.5" customHeight="1">
      <c r="A761" s="105" t="s">
        <v>2678</v>
      </c>
      <c r="B761" s="71" t="s">
        <v>2678</v>
      </c>
      <c r="C761" s="58" t="s">
        <v>2679</v>
      </c>
      <c r="D761" s="71" t="s">
        <v>255</v>
      </c>
      <c r="E761" s="58" t="s">
        <v>2680</v>
      </c>
      <c r="H761" s="58" t="s">
        <v>2681</v>
      </c>
      <c r="I761" s="58" t="s">
        <v>2675</v>
      </c>
      <c r="J761" s="58" t="s">
        <v>1458</v>
      </c>
    </row>
    <row r="762" spans="1:11" ht="13.5" customHeight="1">
      <c r="A762" s="105" t="s">
        <v>2682</v>
      </c>
      <c r="B762" s="71" t="s">
        <v>2682</v>
      </c>
      <c r="C762" s="58" t="s">
        <v>2683</v>
      </c>
      <c r="D762" s="71" t="s">
        <v>255</v>
      </c>
      <c r="E762" s="58" t="s">
        <v>2684</v>
      </c>
      <c r="H762" s="58" t="s">
        <v>1748</v>
      </c>
      <c r="I762" s="58" t="s">
        <v>2678</v>
      </c>
      <c r="J762" s="58" t="s">
        <v>1458</v>
      </c>
    </row>
    <row r="763" spans="1:11" ht="13.5" customHeight="1">
      <c r="A763" s="105" t="s">
        <v>2685</v>
      </c>
      <c r="B763" s="71" t="s">
        <v>2686</v>
      </c>
      <c r="C763" s="58" t="s">
        <v>2687</v>
      </c>
      <c r="D763" s="71" t="s">
        <v>235</v>
      </c>
      <c r="E763" s="58" t="s">
        <v>2688</v>
      </c>
      <c r="H763" s="58" t="s">
        <v>2689</v>
      </c>
      <c r="I763" s="58" t="s">
        <v>2682</v>
      </c>
      <c r="J763" s="58" t="s">
        <v>1474</v>
      </c>
    </row>
    <row r="764" spans="1:11" ht="13.5" customHeight="1">
      <c r="A764" s="105" t="s">
        <v>2690</v>
      </c>
      <c r="B764" s="71" t="s">
        <v>2691</v>
      </c>
      <c r="C764" s="58" t="s">
        <v>2692</v>
      </c>
      <c r="D764" s="71" t="s">
        <v>235</v>
      </c>
      <c r="H764" s="58" t="s">
        <v>1500</v>
      </c>
      <c r="I764" s="58" t="s">
        <v>2693</v>
      </c>
      <c r="J764" s="58" t="s">
        <v>1458</v>
      </c>
    </row>
    <row r="765" spans="1:11" ht="13.5" customHeight="1">
      <c r="A765" s="105" t="s">
        <v>2694</v>
      </c>
      <c r="B765" s="71" t="s">
        <v>2694</v>
      </c>
      <c r="C765" s="58" t="s">
        <v>2695</v>
      </c>
      <c r="D765" s="71" t="s">
        <v>255</v>
      </c>
      <c r="E765" s="58" t="s">
        <v>2696</v>
      </c>
      <c r="H765" s="58" t="s">
        <v>1480</v>
      </c>
      <c r="I765" s="58" t="s">
        <v>2690</v>
      </c>
      <c r="J765" s="58" t="s">
        <v>1458</v>
      </c>
    </row>
    <row r="766" spans="1:11" ht="13.5" customHeight="1">
      <c r="A766" s="105" t="s">
        <v>2697</v>
      </c>
      <c r="B766" s="71" t="s">
        <v>2697</v>
      </c>
      <c r="C766" s="58" t="s">
        <v>2698</v>
      </c>
      <c r="D766" s="71" t="s">
        <v>255</v>
      </c>
      <c r="E766" s="58" t="s">
        <v>2699</v>
      </c>
      <c r="H766" s="58" t="s">
        <v>1480</v>
      </c>
      <c r="I766" s="58" t="s">
        <v>2694</v>
      </c>
      <c r="J766" s="58" t="s">
        <v>1458</v>
      </c>
    </row>
    <row r="767" spans="1:11" ht="13.5" customHeight="1">
      <c r="A767" s="105" t="s">
        <v>2700</v>
      </c>
      <c r="B767" s="71" t="s">
        <v>2700</v>
      </c>
      <c r="C767" s="58" t="s">
        <v>2701</v>
      </c>
      <c r="D767" s="71" t="s">
        <v>255</v>
      </c>
      <c r="E767" s="58" t="s">
        <v>2702</v>
      </c>
      <c r="H767" s="58" t="s">
        <v>1480</v>
      </c>
      <c r="I767" s="58" t="s">
        <v>2697</v>
      </c>
      <c r="J767" s="58" t="s">
        <v>1458</v>
      </c>
    </row>
    <row r="768" spans="1:11" ht="13.5" customHeight="1">
      <c r="A768" s="105" t="s">
        <v>2703</v>
      </c>
      <c r="B768" s="71" t="s">
        <v>2703</v>
      </c>
      <c r="C768" s="58" t="s">
        <v>2704</v>
      </c>
      <c r="D768" s="71" t="s">
        <v>255</v>
      </c>
      <c r="E768" s="58" t="s">
        <v>2705</v>
      </c>
      <c r="H768" s="58" t="s">
        <v>2706</v>
      </c>
      <c r="I768" s="58" t="s">
        <v>2700</v>
      </c>
      <c r="J768" s="58" t="s">
        <v>1458</v>
      </c>
    </row>
    <row r="769" spans="1:10" ht="13.5" customHeight="1">
      <c r="A769" s="105" t="s">
        <v>2707</v>
      </c>
      <c r="B769" s="71" t="s">
        <v>2708</v>
      </c>
      <c r="C769" s="58" t="s">
        <v>2709</v>
      </c>
      <c r="D769" s="71" t="s">
        <v>235</v>
      </c>
      <c r="E769" s="58" t="s">
        <v>2710</v>
      </c>
      <c r="H769" s="58" t="s">
        <v>261</v>
      </c>
      <c r="I769" s="58" t="s">
        <v>2703</v>
      </c>
      <c r="J769" s="58" t="s">
        <v>1474</v>
      </c>
    </row>
    <row r="770" spans="1:10" ht="13.5" customHeight="1">
      <c r="A770" s="105" t="s">
        <v>2711</v>
      </c>
      <c r="B770" s="71" t="s">
        <v>2712</v>
      </c>
      <c r="C770" s="58" t="s">
        <v>2713</v>
      </c>
      <c r="D770" s="71" t="s">
        <v>235</v>
      </c>
      <c r="H770" s="58" t="s">
        <v>2714</v>
      </c>
      <c r="I770" s="58" t="s">
        <v>2715</v>
      </c>
      <c r="J770" s="58" t="s">
        <v>1458</v>
      </c>
    </row>
    <row r="771" spans="1:10" ht="13.5" customHeight="1">
      <c r="A771" s="105" t="s">
        <v>2716</v>
      </c>
      <c r="B771" s="71" t="s">
        <v>2716</v>
      </c>
      <c r="C771" s="58" t="s">
        <v>2717</v>
      </c>
      <c r="D771" s="71" t="s">
        <v>255</v>
      </c>
      <c r="E771" s="58" t="s">
        <v>2718</v>
      </c>
      <c r="H771" s="58" t="s">
        <v>2714</v>
      </c>
      <c r="I771" s="58" t="s">
        <v>2711</v>
      </c>
      <c r="J771" s="58" t="s">
        <v>1458</v>
      </c>
    </row>
    <row r="772" spans="1:10" ht="13.5" customHeight="1">
      <c r="A772" s="105" t="s">
        <v>2719</v>
      </c>
      <c r="B772" s="71" t="s">
        <v>2719</v>
      </c>
      <c r="C772" s="58" t="s">
        <v>2720</v>
      </c>
      <c r="D772" s="71" t="s">
        <v>255</v>
      </c>
      <c r="E772" s="58" t="s">
        <v>2721</v>
      </c>
      <c r="H772" s="58" t="s">
        <v>1248</v>
      </c>
      <c r="I772" s="58" t="s">
        <v>2716</v>
      </c>
      <c r="J772" s="58" t="s">
        <v>1458</v>
      </c>
    </row>
    <row r="773" spans="1:10" ht="13.5" customHeight="1">
      <c r="A773" s="105" t="s">
        <v>2722</v>
      </c>
      <c r="B773" s="71" t="s">
        <v>2722</v>
      </c>
      <c r="C773" s="58" t="s">
        <v>2723</v>
      </c>
      <c r="D773" s="71" t="s">
        <v>255</v>
      </c>
      <c r="E773" s="58" t="s">
        <v>2724</v>
      </c>
      <c r="H773" s="58" t="s">
        <v>2725</v>
      </c>
      <c r="I773" s="58" t="s">
        <v>2719</v>
      </c>
      <c r="J773" s="58" t="s">
        <v>1458</v>
      </c>
    </row>
    <row r="774" spans="1:10" ht="13.5" customHeight="1">
      <c r="A774" s="105" t="s">
        <v>2726</v>
      </c>
      <c r="B774" s="71" t="s">
        <v>2726</v>
      </c>
      <c r="C774" s="58" t="s">
        <v>2727</v>
      </c>
      <c r="D774" s="71" t="s">
        <v>255</v>
      </c>
      <c r="E774" s="58" t="s">
        <v>2728</v>
      </c>
      <c r="H774" s="58" t="s">
        <v>2048</v>
      </c>
      <c r="I774" s="58" t="s">
        <v>2722</v>
      </c>
      <c r="J774" s="58" t="s">
        <v>1458</v>
      </c>
    </row>
    <row r="775" spans="1:10" ht="13.5" customHeight="1">
      <c r="A775" s="105" t="s">
        <v>2729</v>
      </c>
      <c r="B775" s="71" t="s">
        <v>2730</v>
      </c>
      <c r="C775" s="58" t="s">
        <v>2731</v>
      </c>
      <c r="D775" s="71" t="s">
        <v>235</v>
      </c>
      <c r="E775" s="58" t="s">
        <v>2732</v>
      </c>
      <c r="H775" s="58" t="s">
        <v>2733</v>
      </c>
      <c r="I775" s="58" t="s">
        <v>2726</v>
      </c>
      <c r="J775" s="58" t="s">
        <v>1474</v>
      </c>
    </row>
    <row r="776" spans="1:10" ht="13.5" customHeight="1">
      <c r="A776" s="105" t="s">
        <v>2734</v>
      </c>
      <c r="B776" s="71" t="s">
        <v>2735</v>
      </c>
      <c r="C776" s="58" t="s">
        <v>2736</v>
      </c>
      <c r="D776" s="71" t="s">
        <v>235</v>
      </c>
      <c r="H776" s="58" t="s">
        <v>2737</v>
      </c>
      <c r="I776" s="58" t="s">
        <v>2738</v>
      </c>
      <c r="J776" s="58" t="s">
        <v>1458</v>
      </c>
    </row>
    <row r="777" spans="1:10" ht="13.5" customHeight="1">
      <c r="A777" s="105" t="s">
        <v>2739</v>
      </c>
      <c r="B777" s="71" t="s">
        <v>2739</v>
      </c>
      <c r="C777" s="58" t="s">
        <v>2740</v>
      </c>
      <c r="D777" s="71" t="s">
        <v>255</v>
      </c>
      <c r="E777" s="58" t="s">
        <v>2741</v>
      </c>
      <c r="H777" s="58" t="s">
        <v>1556</v>
      </c>
      <c r="I777" s="58" t="s">
        <v>2734</v>
      </c>
      <c r="J777" s="58" t="s">
        <v>1458</v>
      </c>
    </row>
    <row r="778" spans="1:10" ht="13.5" customHeight="1">
      <c r="A778" s="105" t="s">
        <v>2742</v>
      </c>
      <c r="B778" s="71" t="s">
        <v>2742</v>
      </c>
      <c r="C778" s="58" t="s">
        <v>2743</v>
      </c>
      <c r="D778" s="71" t="s">
        <v>255</v>
      </c>
      <c r="E778" s="58" t="s">
        <v>2744</v>
      </c>
      <c r="H778" s="58" t="s">
        <v>2095</v>
      </c>
      <c r="I778" s="58" t="s">
        <v>2739</v>
      </c>
      <c r="J778" s="58" t="s">
        <v>1458</v>
      </c>
    </row>
    <row r="779" spans="1:10" ht="13.5" customHeight="1">
      <c r="A779" s="105" t="s">
        <v>2745</v>
      </c>
      <c r="B779" s="71" t="s">
        <v>2745</v>
      </c>
      <c r="C779" s="58" t="s">
        <v>2746</v>
      </c>
      <c r="D779" s="71" t="s">
        <v>255</v>
      </c>
      <c r="E779" s="58" t="s">
        <v>2747</v>
      </c>
      <c r="H779" s="58" t="s">
        <v>1486</v>
      </c>
      <c r="I779" s="58" t="s">
        <v>2742</v>
      </c>
      <c r="J779" s="58" t="s">
        <v>1458</v>
      </c>
    </row>
    <row r="780" spans="1:10" ht="13.5" customHeight="1">
      <c r="A780" s="105" t="s">
        <v>2748</v>
      </c>
      <c r="B780" s="71" t="s">
        <v>2748</v>
      </c>
      <c r="C780" s="58" t="s">
        <v>2749</v>
      </c>
      <c r="D780" s="71" t="s">
        <v>255</v>
      </c>
      <c r="E780" s="58" t="s">
        <v>2750</v>
      </c>
      <c r="H780" s="58" t="s">
        <v>218</v>
      </c>
      <c r="I780" s="58" t="s">
        <v>2745</v>
      </c>
      <c r="J780" s="58" t="s">
        <v>1458</v>
      </c>
    </row>
    <row r="781" spans="1:10" ht="13.5" customHeight="1">
      <c r="A781" s="105" t="s">
        <v>2751</v>
      </c>
      <c r="B781" s="71" t="s">
        <v>2751</v>
      </c>
      <c r="C781" s="58" t="s">
        <v>2752</v>
      </c>
      <c r="D781" s="71" t="s">
        <v>309</v>
      </c>
      <c r="E781" s="58" t="s">
        <v>2753</v>
      </c>
      <c r="H781" s="58" t="s">
        <v>218</v>
      </c>
      <c r="I781" s="58" t="s">
        <v>2748</v>
      </c>
      <c r="J781" s="58" t="s">
        <v>1458</v>
      </c>
    </row>
    <row r="782" spans="1:10" ht="13.5" customHeight="1">
      <c r="A782" s="105" t="s">
        <v>2754</v>
      </c>
      <c r="B782" s="71" t="s">
        <v>2755</v>
      </c>
      <c r="C782" s="58" t="s">
        <v>2756</v>
      </c>
      <c r="D782" s="71" t="s">
        <v>235</v>
      </c>
      <c r="E782" s="58" t="s">
        <v>2757</v>
      </c>
      <c r="H782" s="58" t="s">
        <v>2758</v>
      </c>
      <c r="I782" s="58" t="s">
        <v>2751</v>
      </c>
      <c r="J782" s="58" t="s">
        <v>1474</v>
      </c>
    </row>
    <row r="783" spans="1:10" ht="13.5" customHeight="1">
      <c r="A783" s="105" t="s">
        <v>2759</v>
      </c>
      <c r="B783" s="71" t="s">
        <v>2760</v>
      </c>
      <c r="C783" s="58" t="s">
        <v>2761</v>
      </c>
      <c r="D783" s="71" t="s">
        <v>235</v>
      </c>
      <c r="H783" s="58" t="s">
        <v>2762</v>
      </c>
      <c r="I783" s="58" t="s">
        <v>2763</v>
      </c>
      <c r="J783" s="58" t="s">
        <v>1458</v>
      </c>
    </row>
    <row r="784" spans="1:10" ht="13.5" customHeight="1">
      <c r="A784" s="105" t="s">
        <v>2764</v>
      </c>
      <c r="B784" s="71" t="s">
        <v>2764</v>
      </c>
      <c r="C784" s="58" t="s">
        <v>2765</v>
      </c>
      <c r="D784" s="71" t="s">
        <v>226</v>
      </c>
      <c r="E784" s="58" t="s">
        <v>2766</v>
      </c>
      <c r="H784" s="58" t="s">
        <v>1480</v>
      </c>
      <c r="I784" s="58" t="s">
        <v>2759</v>
      </c>
      <c r="J784" s="58" t="s">
        <v>1458</v>
      </c>
    </row>
    <row r="785" spans="1:10" ht="13.5" customHeight="1">
      <c r="A785" s="105" t="s">
        <v>2767</v>
      </c>
      <c r="B785" s="71" t="s">
        <v>2767</v>
      </c>
      <c r="C785" s="58" t="s">
        <v>2768</v>
      </c>
      <c r="D785" s="71" t="s">
        <v>255</v>
      </c>
      <c r="E785" s="58" t="s">
        <v>2769</v>
      </c>
      <c r="H785" s="58" t="s">
        <v>1480</v>
      </c>
      <c r="I785" s="58" t="s">
        <v>2764</v>
      </c>
      <c r="J785" s="58" t="s">
        <v>179</v>
      </c>
    </row>
    <row r="786" spans="1:10" ht="13.5" customHeight="1">
      <c r="A786" s="105" t="s">
        <v>2770</v>
      </c>
      <c r="B786" s="71" t="s">
        <v>2770</v>
      </c>
      <c r="C786" s="58" t="s">
        <v>2771</v>
      </c>
      <c r="D786" s="71" t="s">
        <v>255</v>
      </c>
      <c r="E786" s="58" t="s">
        <v>2772</v>
      </c>
      <c r="H786" s="58" t="s">
        <v>2725</v>
      </c>
      <c r="I786" s="58" t="s">
        <v>2767</v>
      </c>
      <c r="J786" s="58" t="s">
        <v>179</v>
      </c>
    </row>
    <row r="787" spans="1:10" ht="13.5" customHeight="1">
      <c r="A787" s="105" t="s">
        <v>2773</v>
      </c>
      <c r="B787" s="71" t="s">
        <v>2773</v>
      </c>
      <c r="C787" s="58" t="s">
        <v>2774</v>
      </c>
      <c r="D787" s="71" t="s">
        <v>255</v>
      </c>
      <c r="E787" s="58" t="s">
        <v>2775</v>
      </c>
      <c r="H787" s="58" t="s">
        <v>2776</v>
      </c>
      <c r="I787" s="58" t="s">
        <v>2770</v>
      </c>
      <c r="J787" s="58" t="s">
        <v>179</v>
      </c>
    </row>
    <row r="788" spans="1:10" ht="13.5" customHeight="1">
      <c r="A788" s="105" t="s">
        <v>2777</v>
      </c>
      <c r="B788" s="71" t="s">
        <v>2777</v>
      </c>
      <c r="C788" s="58" t="s">
        <v>2778</v>
      </c>
      <c r="D788" s="71" t="s">
        <v>226</v>
      </c>
      <c r="E788" s="58" t="s">
        <v>2779</v>
      </c>
      <c r="H788" s="58" t="s">
        <v>1556</v>
      </c>
      <c r="I788" s="58" t="s">
        <v>2773</v>
      </c>
      <c r="J788" s="58" t="s">
        <v>179</v>
      </c>
    </row>
    <row r="789" spans="1:10" ht="13.5" customHeight="1">
      <c r="A789" s="105" t="s">
        <v>2780</v>
      </c>
      <c r="B789" s="71" t="s">
        <v>2780</v>
      </c>
      <c r="C789" s="58" t="s">
        <v>2781</v>
      </c>
      <c r="D789" s="71" t="s">
        <v>255</v>
      </c>
      <c r="E789" s="58" t="s">
        <v>2782</v>
      </c>
      <c r="H789" s="58" t="s">
        <v>1486</v>
      </c>
      <c r="I789" s="58" t="s">
        <v>2777</v>
      </c>
      <c r="J789" s="58" t="s">
        <v>179</v>
      </c>
    </row>
    <row r="790" spans="1:10" ht="13.5" customHeight="1">
      <c r="A790" s="105" t="s">
        <v>2783</v>
      </c>
      <c r="B790" s="71" t="s">
        <v>2783</v>
      </c>
      <c r="C790" s="58" t="s">
        <v>2784</v>
      </c>
      <c r="D790" s="71" t="s">
        <v>309</v>
      </c>
      <c r="E790" s="58" t="s">
        <v>2785</v>
      </c>
      <c r="H790" s="58" t="s">
        <v>218</v>
      </c>
      <c r="I790" s="58" t="s">
        <v>2780</v>
      </c>
      <c r="J790" s="58" t="s">
        <v>179</v>
      </c>
    </row>
    <row r="791" spans="1:10" ht="13.5" customHeight="1">
      <c r="A791" s="105" t="s">
        <v>2786</v>
      </c>
      <c r="B791" s="71" t="s">
        <v>2787</v>
      </c>
      <c r="C791" s="58" t="s">
        <v>2788</v>
      </c>
      <c r="D791" s="71" t="s">
        <v>235</v>
      </c>
      <c r="E791" s="58" t="s">
        <v>2789</v>
      </c>
      <c r="H791" s="58" t="s">
        <v>2790</v>
      </c>
      <c r="I791" s="58" t="s">
        <v>2783</v>
      </c>
      <c r="J791" s="58" t="s">
        <v>1474</v>
      </c>
    </row>
    <row r="792" spans="1:10" ht="13.5" customHeight="1">
      <c r="A792" s="105" t="s">
        <v>2791</v>
      </c>
      <c r="B792" s="71" t="s">
        <v>2792</v>
      </c>
      <c r="C792" s="58" t="s">
        <v>2793</v>
      </c>
      <c r="D792" s="71" t="s">
        <v>235</v>
      </c>
      <c r="H792" s="58" t="s">
        <v>2762</v>
      </c>
      <c r="I792" s="58" t="s">
        <v>2786</v>
      </c>
      <c r="J792" s="58" t="s">
        <v>179</v>
      </c>
    </row>
    <row r="793" spans="1:10" ht="13.5" customHeight="1">
      <c r="A793" s="105" t="s">
        <v>2794</v>
      </c>
      <c r="B793" s="71" t="s">
        <v>2794</v>
      </c>
      <c r="C793" s="58" t="s">
        <v>2795</v>
      </c>
      <c r="D793" s="71" t="s">
        <v>255</v>
      </c>
      <c r="E793" s="58" t="s">
        <v>2796</v>
      </c>
      <c r="H793" s="58" t="s">
        <v>1556</v>
      </c>
      <c r="I793" s="58" t="s">
        <v>2791</v>
      </c>
      <c r="J793" s="58" t="s">
        <v>179</v>
      </c>
    </row>
    <row r="794" spans="1:10" ht="13.5" customHeight="1">
      <c r="A794" s="105" t="s">
        <v>2797</v>
      </c>
      <c r="B794" s="71" t="s">
        <v>2797</v>
      </c>
      <c r="C794" s="58" t="s">
        <v>2798</v>
      </c>
      <c r="D794" s="71" t="s">
        <v>255</v>
      </c>
      <c r="E794" s="58" t="s">
        <v>2799</v>
      </c>
      <c r="H794" s="58" t="s">
        <v>1480</v>
      </c>
      <c r="I794" s="58" t="s">
        <v>2794</v>
      </c>
      <c r="J794" s="58" t="s">
        <v>179</v>
      </c>
    </row>
    <row r="795" spans="1:10" ht="13.5" customHeight="1">
      <c r="A795" s="105" t="s">
        <v>2800</v>
      </c>
      <c r="B795" s="71" t="s">
        <v>2800</v>
      </c>
      <c r="C795" s="58" t="s">
        <v>2801</v>
      </c>
      <c r="D795" s="71" t="s">
        <v>255</v>
      </c>
      <c r="E795" s="58" t="s">
        <v>2802</v>
      </c>
      <c r="H795" s="58" t="s">
        <v>2803</v>
      </c>
      <c r="I795" s="58" t="s">
        <v>2797</v>
      </c>
      <c r="J795" s="58" t="s">
        <v>179</v>
      </c>
    </row>
    <row r="796" spans="1:10" ht="13.5" customHeight="1">
      <c r="A796" s="105" t="s">
        <v>2804</v>
      </c>
      <c r="B796" s="71" t="s">
        <v>2804</v>
      </c>
      <c r="C796" s="58" t="s">
        <v>2805</v>
      </c>
      <c r="D796" s="71" t="s">
        <v>255</v>
      </c>
      <c r="E796" s="58" t="s">
        <v>2806</v>
      </c>
      <c r="H796" s="58" t="s">
        <v>1270</v>
      </c>
      <c r="I796" s="58" t="s">
        <v>2800</v>
      </c>
      <c r="J796" s="58" t="s">
        <v>179</v>
      </c>
    </row>
    <row r="797" spans="1:10" ht="13.5" customHeight="1">
      <c r="A797" s="105" t="s">
        <v>2807</v>
      </c>
      <c r="B797" s="71" t="s">
        <v>2807</v>
      </c>
      <c r="C797" s="58" t="s">
        <v>2808</v>
      </c>
      <c r="D797" s="71" t="s">
        <v>255</v>
      </c>
      <c r="E797" s="58" t="s">
        <v>2809</v>
      </c>
      <c r="H797" s="58" t="s">
        <v>2776</v>
      </c>
      <c r="I797" s="58" t="s">
        <v>2804</v>
      </c>
      <c r="J797" s="58" t="s">
        <v>179</v>
      </c>
    </row>
    <row r="798" spans="1:10" ht="13.5" customHeight="1">
      <c r="A798" s="105" t="s">
        <v>2810</v>
      </c>
      <c r="B798" s="71" t="s">
        <v>2810</v>
      </c>
      <c r="C798" s="58" t="s">
        <v>2811</v>
      </c>
      <c r="D798" s="71" t="s">
        <v>255</v>
      </c>
      <c r="E798" s="58" t="s">
        <v>2812</v>
      </c>
      <c r="H798" s="58" t="s">
        <v>1486</v>
      </c>
      <c r="I798" s="58" t="s">
        <v>2807</v>
      </c>
      <c r="J798" s="58" t="s">
        <v>179</v>
      </c>
    </row>
    <row r="799" spans="1:10" ht="13.5" customHeight="1">
      <c r="A799" s="105" t="s">
        <v>2813</v>
      </c>
      <c r="B799" s="71" t="s">
        <v>2813</v>
      </c>
      <c r="C799" s="58" t="s">
        <v>2814</v>
      </c>
      <c r="D799" s="71" t="s">
        <v>182</v>
      </c>
      <c r="E799" s="58" t="s">
        <v>2815</v>
      </c>
      <c r="H799" s="58" t="s">
        <v>2816</v>
      </c>
      <c r="I799" s="58" t="s">
        <v>2810</v>
      </c>
      <c r="J799" s="58" t="s">
        <v>179</v>
      </c>
    </row>
    <row r="800" spans="1:10" ht="13.5" customHeight="1">
      <c r="A800" s="105" t="s">
        <v>2817</v>
      </c>
      <c r="B800" s="71" t="s">
        <v>2818</v>
      </c>
      <c r="C800" s="58" t="s">
        <v>2819</v>
      </c>
      <c r="D800" s="71" t="s">
        <v>235</v>
      </c>
      <c r="E800" s="58" t="s">
        <v>2820</v>
      </c>
      <c r="H800" s="58" t="s">
        <v>2790</v>
      </c>
      <c r="I800" s="58" t="s">
        <v>2813</v>
      </c>
      <c r="J800" s="58" t="s">
        <v>1474</v>
      </c>
    </row>
    <row r="801" spans="1:10" ht="13.5" customHeight="1">
      <c r="A801" s="105" t="s">
        <v>2821</v>
      </c>
      <c r="B801" s="71" t="s">
        <v>2822</v>
      </c>
      <c r="C801" s="58" t="s">
        <v>2823</v>
      </c>
      <c r="D801" s="71" t="s">
        <v>235</v>
      </c>
      <c r="H801" s="58" t="s">
        <v>2824</v>
      </c>
      <c r="I801" s="58" t="s">
        <v>2817</v>
      </c>
      <c r="J801" s="58" t="s">
        <v>179</v>
      </c>
    </row>
    <row r="802" spans="1:10" ht="13.5" customHeight="1">
      <c r="A802" s="105" t="s">
        <v>2825</v>
      </c>
      <c r="B802" s="71" t="s">
        <v>2825</v>
      </c>
      <c r="C802" s="58" t="s">
        <v>2826</v>
      </c>
      <c r="D802" s="71" t="s">
        <v>226</v>
      </c>
      <c r="E802" s="58" t="s">
        <v>2827</v>
      </c>
      <c r="H802" s="58" t="s">
        <v>348</v>
      </c>
      <c r="I802" s="58" t="s">
        <v>2821</v>
      </c>
      <c r="J802" s="58" t="s">
        <v>179</v>
      </c>
    </row>
    <row r="803" spans="1:10" ht="13.5" customHeight="1">
      <c r="A803" s="105" t="s">
        <v>2828</v>
      </c>
      <c r="B803" s="71" t="s">
        <v>2828</v>
      </c>
      <c r="C803" s="58" t="s">
        <v>2829</v>
      </c>
      <c r="D803" s="71" t="s">
        <v>221</v>
      </c>
      <c r="E803" s="58" t="s">
        <v>2830</v>
      </c>
      <c r="H803" s="58" t="s">
        <v>348</v>
      </c>
      <c r="I803" s="58" t="s">
        <v>2825</v>
      </c>
      <c r="J803" s="58" t="s">
        <v>179</v>
      </c>
    </row>
    <row r="804" spans="1:10" ht="13.5" customHeight="1">
      <c r="A804" s="105" t="s">
        <v>2831</v>
      </c>
      <c r="B804" s="71" t="s">
        <v>2831</v>
      </c>
      <c r="C804" s="58" t="s">
        <v>2832</v>
      </c>
      <c r="D804" s="71" t="s">
        <v>226</v>
      </c>
      <c r="E804" s="58" t="s">
        <v>2833</v>
      </c>
      <c r="H804" s="58" t="s">
        <v>1248</v>
      </c>
      <c r="I804" s="58" t="s">
        <v>2828</v>
      </c>
      <c r="J804" s="58" t="s">
        <v>179</v>
      </c>
    </row>
    <row r="805" spans="1:10" ht="13.5" customHeight="1">
      <c r="A805" s="105" t="s">
        <v>2834</v>
      </c>
      <c r="B805" s="71" t="s">
        <v>2834</v>
      </c>
      <c r="C805" s="58" t="s">
        <v>2835</v>
      </c>
      <c r="D805" s="71" t="s">
        <v>221</v>
      </c>
      <c r="E805" s="58" t="s">
        <v>2836</v>
      </c>
      <c r="H805" s="58" t="s">
        <v>1483</v>
      </c>
      <c r="I805" s="58" t="s">
        <v>2831</v>
      </c>
      <c r="J805" s="58" t="s">
        <v>179</v>
      </c>
    </row>
    <row r="806" spans="1:10" ht="13.5" customHeight="1">
      <c r="A806" s="105" t="s">
        <v>2837</v>
      </c>
      <c r="B806" s="71" t="s">
        <v>2837</v>
      </c>
      <c r="C806" s="58" t="s">
        <v>2838</v>
      </c>
      <c r="D806" s="71" t="s">
        <v>221</v>
      </c>
      <c r="E806" s="58" t="s">
        <v>2839</v>
      </c>
      <c r="H806" s="58" t="s">
        <v>2840</v>
      </c>
      <c r="I806" s="58" t="s">
        <v>2834</v>
      </c>
      <c r="J806" s="58" t="s">
        <v>179</v>
      </c>
    </row>
    <row r="807" spans="1:10" ht="13.5" customHeight="1">
      <c r="A807" s="105" t="s">
        <v>2841</v>
      </c>
      <c r="B807" s="71" t="s">
        <v>2841</v>
      </c>
      <c r="C807" s="58" t="s">
        <v>2842</v>
      </c>
      <c r="D807" s="71" t="s">
        <v>226</v>
      </c>
      <c r="E807" s="58" t="s">
        <v>2843</v>
      </c>
      <c r="H807" s="58" t="s">
        <v>2844</v>
      </c>
      <c r="I807" s="58" t="s">
        <v>2837</v>
      </c>
      <c r="J807" s="58" t="s">
        <v>179</v>
      </c>
    </row>
    <row r="808" spans="1:10" ht="13.5" customHeight="1">
      <c r="A808" s="105" t="s">
        <v>2845</v>
      </c>
      <c r="B808" s="71" t="s">
        <v>2845</v>
      </c>
      <c r="C808" s="58" t="s">
        <v>2846</v>
      </c>
      <c r="D808" s="71" t="s">
        <v>255</v>
      </c>
      <c r="E808" s="58" t="s">
        <v>2847</v>
      </c>
      <c r="H808" s="58" t="s">
        <v>2848</v>
      </c>
      <c r="I808" s="58" t="s">
        <v>2841</v>
      </c>
      <c r="J808" s="58" t="s">
        <v>179</v>
      </c>
    </row>
    <row r="809" spans="1:10" ht="13.5" customHeight="1">
      <c r="A809" s="105" t="s">
        <v>2849</v>
      </c>
      <c r="B809" s="71" t="s">
        <v>2849</v>
      </c>
      <c r="C809" s="58" t="s">
        <v>2850</v>
      </c>
      <c r="D809" s="71" t="s">
        <v>221</v>
      </c>
      <c r="E809" s="58" t="s">
        <v>2851</v>
      </c>
      <c r="H809" s="58" t="s">
        <v>2090</v>
      </c>
      <c r="I809" s="58" t="s">
        <v>2845</v>
      </c>
      <c r="J809" s="58" t="s">
        <v>179</v>
      </c>
    </row>
    <row r="810" spans="1:10" ht="13.5" customHeight="1">
      <c r="A810" s="105" t="s">
        <v>2852</v>
      </c>
      <c r="B810" s="71" t="s">
        <v>2853</v>
      </c>
      <c r="C810" s="58" t="s">
        <v>2854</v>
      </c>
      <c r="D810" s="71" t="s">
        <v>235</v>
      </c>
      <c r="E810" s="58" t="s">
        <v>2855</v>
      </c>
      <c r="H810" s="58" t="s">
        <v>2856</v>
      </c>
      <c r="I810" s="58" t="s">
        <v>2849</v>
      </c>
      <c r="J810" s="58" t="s">
        <v>1474</v>
      </c>
    </row>
    <row r="811" spans="1:10" ht="13.5" customHeight="1">
      <c r="A811" s="105"/>
      <c r="B811" s="71"/>
      <c r="C811" s="58" t="s">
        <v>2857</v>
      </c>
      <c r="D811" s="71"/>
    </row>
    <row r="812" spans="1:10" ht="13.5" customHeight="1">
      <c r="A812" s="146" t="s">
        <v>2858</v>
      </c>
      <c r="B812" s="71"/>
      <c r="D812" s="71"/>
    </row>
    <row r="813" spans="1:10" ht="13.5" customHeight="1">
      <c r="A813" s="113"/>
      <c r="B813" s="71"/>
      <c r="D813" s="71"/>
    </row>
    <row r="814" spans="1:10" ht="13.5" customHeight="1">
      <c r="A814" s="186"/>
      <c r="B814" s="71"/>
      <c r="D814" s="71"/>
    </row>
    <row r="815" spans="1:10" ht="13.5" customHeight="1">
      <c r="B815" s="71"/>
      <c r="D815" s="71"/>
    </row>
    <row r="816" spans="1:10" ht="13.5" customHeight="1">
      <c r="B816" s="71"/>
      <c r="D816" s="71"/>
    </row>
    <row r="817" spans="2:4" ht="13.5" customHeight="1">
      <c r="B817" s="71"/>
      <c r="D817" s="71"/>
    </row>
    <row r="818" spans="2:4" ht="13.5" customHeight="1">
      <c r="B818" s="71"/>
      <c r="D818" s="71"/>
    </row>
    <row r="819" spans="2:4" ht="13.5" customHeight="1">
      <c r="B819" s="71"/>
      <c r="D819" s="71"/>
    </row>
    <row r="820" spans="2:4" ht="13.5" customHeight="1">
      <c r="B820" s="71"/>
      <c r="D820" s="71"/>
    </row>
    <row r="821" spans="2:4" ht="13.5" customHeight="1">
      <c r="B821" s="71"/>
      <c r="D821" s="71"/>
    </row>
    <row r="822" spans="2:4" ht="13.5" customHeight="1">
      <c r="B822" s="71"/>
      <c r="D822" s="71"/>
    </row>
    <row r="823" spans="2:4" ht="13.5" customHeight="1">
      <c r="B823" s="71"/>
      <c r="D823" s="71"/>
    </row>
    <row r="824" spans="2:4" ht="13.5" customHeight="1">
      <c r="B824" s="71"/>
      <c r="D824" s="71"/>
    </row>
    <row r="825" spans="2:4" ht="13.5" customHeight="1">
      <c r="B825" s="71"/>
      <c r="D825" s="71"/>
    </row>
    <row r="826" spans="2:4" ht="13.5" customHeight="1">
      <c r="B826" s="71"/>
      <c r="D826" s="71"/>
    </row>
    <row r="827" spans="2:4" ht="13.5" customHeight="1">
      <c r="B827" s="71"/>
      <c r="D827" s="71"/>
    </row>
    <row r="828" spans="2:4" ht="13.5" customHeight="1">
      <c r="B828" s="71"/>
      <c r="D828" s="71"/>
    </row>
    <row r="829" spans="2:4" ht="13.5" customHeight="1">
      <c r="B829" s="71"/>
      <c r="D829" s="71"/>
    </row>
    <row r="830" spans="2:4" ht="13.5" customHeight="1">
      <c r="B830" s="71"/>
      <c r="D830" s="71"/>
    </row>
    <row r="831" spans="2:4" ht="13.5" customHeight="1">
      <c r="B831" s="71"/>
      <c r="D831" s="71"/>
    </row>
    <row r="832" spans="2:4" ht="13.5" customHeight="1">
      <c r="B832" s="71"/>
      <c r="D832" s="71"/>
    </row>
    <row r="833" spans="2:4" ht="13.5" customHeight="1">
      <c r="B833" s="71"/>
      <c r="D833" s="71"/>
    </row>
    <row r="834" spans="2:4" ht="13.5" customHeight="1">
      <c r="B834" s="71"/>
      <c r="D834" s="71"/>
    </row>
    <row r="835" spans="2:4" ht="13.5" customHeight="1">
      <c r="B835" s="71"/>
      <c r="D835" s="71"/>
    </row>
    <row r="836" spans="2:4" ht="13.5" customHeight="1">
      <c r="B836" s="71"/>
      <c r="D836" s="71"/>
    </row>
    <row r="837" spans="2:4" ht="13.5" customHeight="1">
      <c r="B837" s="71"/>
      <c r="D837" s="71"/>
    </row>
    <row r="838" spans="2:4" ht="13.5" customHeight="1">
      <c r="B838" s="71"/>
      <c r="D838" s="71"/>
    </row>
    <row r="839" spans="2:4" ht="13.5" customHeight="1">
      <c r="B839" s="71"/>
      <c r="D839" s="71"/>
    </row>
    <row r="840" spans="2:4" ht="13.5" customHeight="1">
      <c r="B840" s="71"/>
      <c r="D840" s="71"/>
    </row>
    <row r="841" spans="2:4" ht="13.5" customHeight="1">
      <c r="B841" s="71"/>
      <c r="D841" s="71"/>
    </row>
    <row r="842" spans="2:4" ht="13.5" customHeight="1">
      <c r="B842" s="71"/>
      <c r="D842" s="71"/>
    </row>
    <row r="843" spans="2:4" ht="13.5" customHeight="1">
      <c r="B843" s="71"/>
      <c r="D843" s="71"/>
    </row>
    <row r="844" spans="2:4" ht="13.5" customHeight="1">
      <c r="B844" s="71"/>
      <c r="D844" s="71"/>
    </row>
    <row r="845" spans="2:4" ht="13.5" customHeight="1">
      <c r="B845" s="71"/>
      <c r="D845" s="71"/>
    </row>
    <row r="846" spans="2:4" ht="13.5" customHeight="1">
      <c r="B846" s="71"/>
      <c r="D846" s="71"/>
    </row>
    <row r="847" spans="2:4" ht="13.5" customHeight="1">
      <c r="B847" s="71"/>
      <c r="D847" s="71"/>
    </row>
    <row r="848" spans="2:4" ht="13.5" customHeight="1">
      <c r="B848" s="71"/>
      <c r="D848" s="71"/>
    </row>
    <row r="849" spans="2:4" ht="13.5" customHeight="1">
      <c r="B849" s="71"/>
      <c r="D849" s="71"/>
    </row>
    <row r="850" spans="2:4" ht="13.5" customHeight="1">
      <c r="B850" s="71"/>
      <c r="D850" s="71"/>
    </row>
    <row r="851" spans="2:4" ht="13.5" customHeight="1">
      <c r="B851" s="71"/>
      <c r="D851" s="71"/>
    </row>
    <row r="852" spans="2:4" ht="13.5" customHeight="1">
      <c r="B852" s="71"/>
      <c r="D852" s="71"/>
    </row>
    <row r="853" spans="2:4" ht="13.5" customHeight="1">
      <c r="B853" s="71"/>
      <c r="D853" s="71"/>
    </row>
    <row r="854" spans="2:4" ht="13.5" customHeight="1">
      <c r="B854" s="71"/>
      <c r="D854" s="71"/>
    </row>
    <row r="855" spans="2:4" ht="13.5" customHeight="1">
      <c r="B855" s="71"/>
      <c r="D855" s="71"/>
    </row>
    <row r="856" spans="2:4" ht="13.5" customHeight="1">
      <c r="B856" s="71"/>
      <c r="D856" s="71"/>
    </row>
    <row r="857" spans="2:4" ht="13.5" customHeight="1">
      <c r="B857" s="71"/>
      <c r="D857" s="71"/>
    </row>
    <row r="858" spans="2:4" ht="13.5" customHeight="1">
      <c r="B858" s="71"/>
      <c r="D858" s="71"/>
    </row>
    <row r="859" spans="2:4" ht="13.5" customHeight="1">
      <c r="B859" s="71"/>
      <c r="D859" s="71"/>
    </row>
    <row r="860" spans="2:4" ht="13.5" customHeight="1">
      <c r="B860" s="71"/>
      <c r="D860" s="71"/>
    </row>
    <row r="861" spans="2:4" ht="13.5" customHeight="1">
      <c r="B861" s="71"/>
      <c r="D861" s="71"/>
    </row>
    <row r="862" spans="2:4" ht="13.5" customHeight="1">
      <c r="B862" s="71"/>
      <c r="D862" s="71"/>
    </row>
    <row r="863" spans="2:4" ht="13.5" customHeight="1">
      <c r="B863" s="71"/>
      <c r="D863" s="71"/>
    </row>
    <row r="864" spans="2:4" ht="13.5" customHeight="1">
      <c r="B864" s="71"/>
      <c r="D864" s="71"/>
    </row>
    <row r="865" spans="2:4" ht="13.5" customHeight="1">
      <c r="B865" s="71"/>
      <c r="D865" s="71"/>
    </row>
    <row r="866" spans="2:4" ht="13.5" customHeight="1">
      <c r="B866" s="71"/>
      <c r="D866" s="71"/>
    </row>
    <row r="867" spans="2:4" ht="13.5" customHeight="1">
      <c r="B867" s="71"/>
      <c r="D867" s="71"/>
    </row>
    <row r="868" spans="2:4" ht="13.5" customHeight="1">
      <c r="B868" s="71"/>
      <c r="D868" s="71"/>
    </row>
    <row r="869" spans="2:4" ht="13.5" customHeight="1">
      <c r="B869" s="71"/>
      <c r="D869" s="71"/>
    </row>
    <row r="870" spans="2:4" ht="13.5" customHeight="1">
      <c r="B870" s="71"/>
      <c r="D870" s="71"/>
    </row>
    <row r="871" spans="2:4" ht="13.5" customHeight="1">
      <c r="B871" s="71"/>
      <c r="D871" s="71"/>
    </row>
    <row r="872" spans="2:4" ht="13.5" customHeight="1">
      <c r="B872" s="71"/>
      <c r="D872" s="71"/>
    </row>
    <row r="873" spans="2:4" ht="13.5" customHeight="1">
      <c r="B873" s="71"/>
      <c r="D873" s="71"/>
    </row>
    <row r="874" spans="2:4" ht="13.5" customHeight="1">
      <c r="B874" s="71"/>
      <c r="D874" s="71"/>
    </row>
    <row r="875" spans="2:4" ht="13.5" customHeight="1">
      <c r="B875" s="71"/>
      <c r="D875" s="71"/>
    </row>
    <row r="876" spans="2:4" ht="13.5" customHeight="1">
      <c r="B876" s="71"/>
      <c r="D876" s="71"/>
    </row>
    <row r="877" spans="2:4" ht="13.5" customHeight="1">
      <c r="B877" s="71"/>
      <c r="D877" s="71"/>
    </row>
    <row r="878" spans="2:4" ht="13.5" customHeight="1">
      <c r="B878" s="71"/>
      <c r="D878" s="71"/>
    </row>
    <row r="879" spans="2:4" ht="13.5" customHeight="1">
      <c r="B879" s="71"/>
      <c r="D879" s="71"/>
    </row>
    <row r="880" spans="2:4" ht="13.5" customHeight="1">
      <c r="B880" s="71"/>
      <c r="D880" s="71"/>
    </row>
    <row r="881" spans="2:4" ht="13.5" customHeight="1">
      <c r="B881" s="71"/>
      <c r="D881" s="71"/>
    </row>
    <row r="882" spans="2:4" ht="13.5" customHeight="1">
      <c r="B882" s="71"/>
      <c r="D882" s="71"/>
    </row>
    <row r="883" spans="2:4" ht="13.5" customHeight="1">
      <c r="B883" s="71"/>
      <c r="D883" s="71"/>
    </row>
    <row r="884" spans="2:4" ht="13.5" customHeight="1">
      <c r="B884" s="71"/>
      <c r="D884" s="71"/>
    </row>
    <row r="885" spans="2:4" ht="13.5" customHeight="1">
      <c r="B885" s="71"/>
      <c r="D885" s="71"/>
    </row>
    <row r="886" spans="2:4" ht="13.5" customHeight="1">
      <c r="B886" s="71"/>
      <c r="D886" s="71"/>
    </row>
    <row r="887" spans="2:4" ht="13.5" customHeight="1">
      <c r="B887" s="71"/>
      <c r="D887" s="71"/>
    </row>
    <row r="888" spans="2:4" ht="13.5" customHeight="1">
      <c r="B888" s="71"/>
      <c r="D888" s="71"/>
    </row>
    <row r="889" spans="2:4" ht="13.5" customHeight="1">
      <c r="B889" s="71"/>
      <c r="D889" s="71"/>
    </row>
    <row r="890" spans="2:4" ht="13.5" customHeight="1">
      <c r="B890" s="71"/>
      <c r="D890" s="71"/>
    </row>
    <row r="891" spans="2:4" ht="13.5" customHeight="1">
      <c r="B891" s="71"/>
      <c r="D891" s="71"/>
    </row>
    <row r="892" spans="2:4" ht="13.5" customHeight="1">
      <c r="B892" s="71"/>
      <c r="D892" s="71"/>
    </row>
    <row r="893" spans="2:4" ht="13.5" customHeight="1">
      <c r="B893" s="71"/>
      <c r="D893" s="71"/>
    </row>
    <row r="894" spans="2:4" ht="13.5" customHeight="1">
      <c r="B894" s="71"/>
      <c r="D894" s="71"/>
    </row>
    <row r="895" spans="2:4" ht="13.5" customHeight="1">
      <c r="B895" s="71"/>
      <c r="D895" s="71"/>
    </row>
    <row r="896" spans="2:4" ht="13.5" customHeight="1">
      <c r="B896" s="71"/>
      <c r="D896" s="71"/>
    </row>
    <row r="897" spans="2:4" ht="13.5" customHeight="1">
      <c r="B897" s="71"/>
      <c r="D897" s="71"/>
    </row>
    <row r="898" spans="2:4" ht="13.5" customHeight="1">
      <c r="B898" s="71"/>
      <c r="D898" s="71"/>
    </row>
    <row r="899" spans="2:4" ht="13.5" customHeight="1">
      <c r="B899" s="71"/>
      <c r="D899" s="71"/>
    </row>
    <row r="900" spans="2:4" ht="13.5" customHeight="1">
      <c r="B900" s="71"/>
      <c r="D900" s="71"/>
    </row>
    <row r="901" spans="2:4" ht="13.5" customHeight="1">
      <c r="B901" s="71"/>
      <c r="D901" s="71"/>
    </row>
    <row r="902" spans="2:4" ht="13.5" customHeight="1">
      <c r="B902" s="71"/>
      <c r="D902" s="71"/>
    </row>
    <row r="903" spans="2:4" ht="13.5" customHeight="1">
      <c r="B903" s="71"/>
      <c r="D903" s="71"/>
    </row>
    <row r="904" spans="2:4" ht="13.5" customHeight="1">
      <c r="B904" s="71"/>
      <c r="D904" s="71"/>
    </row>
    <row r="905" spans="2:4" ht="13.5" customHeight="1">
      <c r="B905" s="71"/>
      <c r="D905" s="71"/>
    </row>
    <row r="906" spans="2:4" ht="13.5" customHeight="1">
      <c r="B906" s="71"/>
      <c r="D906" s="71"/>
    </row>
    <row r="907" spans="2:4" ht="13.5" customHeight="1">
      <c r="B907" s="71"/>
      <c r="D907" s="71"/>
    </row>
    <row r="908" spans="2:4" ht="13.5" customHeight="1">
      <c r="B908" s="71"/>
      <c r="D908" s="71"/>
    </row>
    <row r="909" spans="2:4" ht="13.5" customHeight="1">
      <c r="B909" s="71"/>
      <c r="D909" s="71"/>
    </row>
    <row r="910" spans="2:4" ht="13.5" customHeight="1">
      <c r="B910" s="71"/>
      <c r="D910" s="71"/>
    </row>
    <row r="911" spans="2:4" ht="13.5" customHeight="1">
      <c r="B911" s="71"/>
      <c r="D911" s="71"/>
    </row>
    <row r="912" spans="2:4" ht="13.5" customHeight="1">
      <c r="B912" s="71"/>
      <c r="D912" s="71"/>
    </row>
    <row r="913" spans="2:4" ht="13.5" customHeight="1">
      <c r="B913" s="71"/>
      <c r="D913" s="71"/>
    </row>
    <row r="914" spans="2:4" ht="13.5" customHeight="1">
      <c r="B914" s="71"/>
      <c r="D914" s="71"/>
    </row>
    <row r="915" spans="2:4" ht="13.5" customHeight="1">
      <c r="B915" s="71"/>
      <c r="D915" s="71"/>
    </row>
    <row r="916" spans="2:4" ht="13.5" customHeight="1">
      <c r="B916" s="71"/>
      <c r="D916" s="71"/>
    </row>
    <row r="917" spans="2:4" ht="13.5" customHeight="1">
      <c r="B917" s="71"/>
      <c r="D917" s="71"/>
    </row>
    <row r="918" spans="2:4" ht="13.5" customHeight="1">
      <c r="B918" s="71"/>
      <c r="D918" s="71"/>
    </row>
    <row r="919" spans="2:4" ht="13.5" customHeight="1">
      <c r="B919" s="71"/>
      <c r="D919" s="71"/>
    </row>
    <row r="920" spans="2:4" ht="13.5" customHeight="1">
      <c r="B920" s="71"/>
      <c r="D920" s="71"/>
    </row>
    <row r="921" spans="2:4" ht="13.5" customHeight="1">
      <c r="B921" s="71"/>
      <c r="D921" s="71"/>
    </row>
    <row r="922" spans="2:4" ht="13.5" customHeight="1">
      <c r="B922" s="71"/>
      <c r="D922" s="71"/>
    </row>
    <row r="923" spans="2:4" ht="13.5" customHeight="1">
      <c r="B923" s="71"/>
      <c r="D923" s="71"/>
    </row>
    <row r="924" spans="2:4" ht="13.5" customHeight="1">
      <c r="B924" s="71"/>
      <c r="D924" s="71"/>
    </row>
    <row r="925" spans="2:4" ht="13.5" customHeight="1">
      <c r="B925" s="71"/>
      <c r="D925" s="71"/>
    </row>
    <row r="926" spans="2:4" ht="13.5" customHeight="1">
      <c r="B926" s="71"/>
      <c r="D926" s="71"/>
    </row>
    <row r="927" spans="2:4" ht="13.5" customHeight="1">
      <c r="B927" s="71"/>
      <c r="D927" s="71"/>
    </row>
    <row r="928" spans="2:4" ht="13.5" customHeight="1">
      <c r="B928" s="71"/>
      <c r="D928" s="71"/>
    </row>
    <row r="929" spans="2:4" ht="13.5" customHeight="1">
      <c r="B929" s="71"/>
      <c r="D929" s="71"/>
    </row>
    <row r="930" spans="2:4" ht="13.5" customHeight="1">
      <c r="B930" s="71"/>
      <c r="D930" s="71"/>
    </row>
    <row r="931" spans="2:4" ht="13.5" customHeight="1">
      <c r="B931" s="71"/>
      <c r="D931" s="71"/>
    </row>
    <row r="932" spans="2:4" ht="13.5" customHeight="1">
      <c r="B932" s="71"/>
      <c r="D932" s="71"/>
    </row>
    <row r="933" spans="2:4" ht="13.5" customHeight="1">
      <c r="B933" s="71"/>
      <c r="D933" s="71"/>
    </row>
    <row r="934" spans="2:4" ht="13.5" customHeight="1">
      <c r="B934" s="71"/>
      <c r="D934" s="71"/>
    </row>
    <row r="935" spans="2:4" ht="13.5" customHeight="1">
      <c r="B935" s="71"/>
      <c r="D935" s="71"/>
    </row>
    <row r="936" spans="2:4" ht="13.5" customHeight="1">
      <c r="B936" s="71"/>
      <c r="D936" s="71"/>
    </row>
    <row r="937" spans="2:4" ht="13.5" customHeight="1">
      <c r="B937" s="71"/>
      <c r="D937" s="71"/>
    </row>
    <row r="938" spans="2:4" ht="13.5" customHeight="1">
      <c r="B938" s="71"/>
      <c r="D938" s="71"/>
    </row>
    <row r="939" spans="2:4" ht="13.5" customHeight="1">
      <c r="B939" s="71"/>
      <c r="D939" s="71"/>
    </row>
    <row r="940" spans="2:4" ht="13.5" customHeight="1">
      <c r="B940" s="71"/>
      <c r="D940" s="71"/>
    </row>
    <row r="941" spans="2:4" ht="13.5" customHeight="1">
      <c r="B941" s="71"/>
      <c r="D941" s="71"/>
    </row>
    <row r="942" spans="2:4" ht="13.5" customHeight="1">
      <c r="B942" s="71"/>
      <c r="D942" s="71"/>
    </row>
    <row r="943" spans="2:4" ht="13.5" customHeight="1">
      <c r="B943" s="71"/>
      <c r="D943" s="71"/>
    </row>
    <row r="944" spans="2:4" ht="13.5" customHeight="1">
      <c r="B944" s="71"/>
      <c r="D944" s="71"/>
    </row>
    <row r="945" spans="2:4" ht="13.5" customHeight="1">
      <c r="B945" s="71"/>
      <c r="D945" s="71"/>
    </row>
    <row r="946" spans="2:4" ht="13.5" customHeight="1">
      <c r="B946" s="71"/>
      <c r="D946" s="71"/>
    </row>
    <row r="947" spans="2:4" ht="13.5" customHeight="1">
      <c r="B947" s="71"/>
      <c r="D947" s="71"/>
    </row>
    <row r="948" spans="2:4" ht="13.5" customHeight="1">
      <c r="B948" s="71"/>
      <c r="D948" s="71"/>
    </row>
    <row r="949" spans="2:4" ht="13.5" customHeight="1">
      <c r="B949" s="71"/>
      <c r="D949" s="71"/>
    </row>
    <row r="950" spans="2:4" ht="13.5" customHeight="1">
      <c r="B950" s="71"/>
      <c r="D950" s="71"/>
    </row>
    <row r="951" spans="2:4" ht="13.5" customHeight="1">
      <c r="B951" s="71"/>
      <c r="D951" s="71"/>
    </row>
    <row r="952" spans="2:4" ht="13.5" customHeight="1">
      <c r="B952" s="71"/>
      <c r="D952" s="71"/>
    </row>
    <row r="953" spans="2:4" ht="13.5" customHeight="1">
      <c r="B953" s="71"/>
      <c r="D953" s="71"/>
    </row>
    <row r="954" spans="2:4" ht="13.5" customHeight="1">
      <c r="B954" s="71"/>
      <c r="D954" s="71"/>
    </row>
    <row r="955" spans="2:4" ht="13.5" customHeight="1">
      <c r="B955" s="71"/>
      <c r="D955" s="71"/>
    </row>
    <row r="956" spans="2:4" ht="13.5" customHeight="1">
      <c r="B956" s="71"/>
      <c r="D956" s="71"/>
    </row>
    <row r="957" spans="2:4" ht="13.5" customHeight="1">
      <c r="B957" s="71"/>
      <c r="D957" s="71"/>
    </row>
    <row r="958" spans="2:4" ht="13.5" customHeight="1">
      <c r="B958" s="71"/>
      <c r="D958" s="71"/>
    </row>
    <row r="959" spans="2:4" ht="13.5" customHeight="1">
      <c r="B959" s="71"/>
      <c r="D959" s="71"/>
    </row>
    <row r="960" spans="2:4" ht="13.5" customHeight="1">
      <c r="B960" s="71"/>
      <c r="D960" s="71"/>
    </row>
    <row r="961" spans="2:4" ht="13.5" customHeight="1">
      <c r="B961" s="71"/>
      <c r="D961" s="71"/>
    </row>
    <row r="962" spans="2:4" ht="13.5" customHeight="1">
      <c r="B962" s="71"/>
      <c r="D962" s="71"/>
    </row>
    <row r="963" spans="2:4" ht="13.5" customHeight="1">
      <c r="B963" s="71"/>
      <c r="D963" s="71"/>
    </row>
    <row r="964" spans="2:4" ht="13.5" customHeight="1">
      <c r="B964" s="71"/>
      <c r="D964" s="71"/>
    </row>
    <row r="965" spans="2:4" ht="13.5" customHeight="1">
      <c r="B965" s="71"/>
      <c r="D965" s="71"/>
    </row>
    <row r="966" spans="2:4" ht="13.5" customHeight="1">
      <c r="B966" s="71"/>
      <c r="D966" s="71"/>
    </row>
    <row r="967" spans="2:4" ht="13.5" customHeight="1">
      <c r="B967" s="71"/>
      <c r="D967" s="71"/>
    </row>
    <row r="968" spans="2:4" ht="13.5" customHeight="1">
      <c r="B968" s="71"/>
      <c r="D968" s="71"/>
    </row>
    <row r="969" spans="2:4" ht="13.5" customHeight="1">
      <c r="B969" s="71"/>
      <c r="D969" s="71"/>
    </row>
    <row r="970" spans="2:4" ht="13.5" customHeight="1">
      <c r="B970" s="71"/>
      <c r="D970" s="71"/>
    </row>
    <row r="971" spans="2:4" ht="13.5" customHeight="1">
      <c r="B971" s="71"/>
      <c r="D971" s="71"/>
    </row>
    <row r="972" spans="2:4" ht="13.5" customHeight="1">
      <c r="B972" s="71"/>
      <c r="D972" s="71"/>
    </row>
    <row r="973" spans="2:4" ht="13.5" customHeight="1">
      <c r="B973" s="71"/>
      <c r="D973" s="71"/>
    </row>
    <row r="974" spans="2:4" ht="13.5" customHeight="1">
      <c r="B974" s="71"/>
      <c r="D974" s="71"/>
    </row>
    <row r="975" spans="2:4" ht="13.5" customHeight="1">
      <c r="B975" s="71"/>
      <c r="D975" s="71"/>
    </row>
    <row r="976" spans="2:4" ht="13.5" customHeight="1">
      <c r="B976" s="71"/>
      <c r="D976" s="71"/>
    </row>
    <row r="977" spans="2:4" ht="13.5" customHeight="1">
      <c r="B977" s="71"/>
      <c r="D977" s="71"/>
    </row>
    <row r="978" spans="2:4" ht="13.5" customHeight="1">
      <c r="B978" s="71"/>
      <c r="D978" s="71"/>
    </row>
    <row r="979" spans="2:4" ht="13.5" customHeight="1">
      <c r="B979" s="71"/>
      <c r="D979" s="71"/>
    </row>
    <row r="980" spans="2:4" ht="13.5" customHeight="1">
      <c r="B980" s="71"/>
      <c r="D980" s="71"/>
    </row>
    <row r="981" spans="2:4" ht="13.5" customHeight="1">
      <c r="B981" s="71"/>
      <c r="D981" s="71"/>
    </row>
    <row r="982" spans="2:4" ht="13.5" customHeight="1">
      <c r="B982" s="71"/>
      <c r="D982" s="71"/>
    </row>
    <row r="983" spans="2:4" ht="13.5" customHeight="1">
      <c r="B983" s="71"/>
      <c r="D983" s="71"/>
    </row>
    <row r="984" spans="2:4" ht="13.5" customHeight="1">
      <c r="B984" s="71"/>
      <c r="D984" s="71"/>
    </row>
    <row r="985" spans="2:4" ht="13.5" customHeight="1">
      <c r="B985" s="71"/>
      <c r="D985" s="71"/>
    </row>
    <row r="986" spans="2:4" ht="13.5" customHeight="1">
      <c r="B986" s="71"/>
      <c r="D986" s="71"/>
    </row>
    <row r="987" spans="2:4" ht="13.5" customHeight="1">
      <c r="B987" s="71"/>
      <c r="D987" s="71"/>
    </row>
    <row r="988" spans="2:4" ht="13.5" customHeight="1">
      <c r="B988" s="71"/>
      <c r="D988" s="71"/>
    </row>
    <row r="989" spans="2:4" ht="13.5" customHeight="1">
      <c r="B989" s="71"/>
      <c r="D989" s="71"/>
    </row>
    <row r="990" spans="2:4" ht="13.5" customHeight="1">
      <c r="B990" s="71"/>
      <c r="D990" s="71"/>
    </row>
    <row r="991" spans="2:4" ht="13.5" customHeight="1">
      <c r="B991" s="71"/>
      <c r="D991" s="71"/>
    </row>
    <row r="992" spans="2:4" ht="13.5" customHeight="1">
      <c r="B992" s="71"/>
      <c r="D992" s="71"/>
    </row>
    <row r="993" spans="2:4" ht="13.5" customHeight="1">
      <c r="B993" s="71"/>
      <c r="D993" s="71"/>
    </row>
    <row r="994" spans="2:4" ht="13.5" customHeight="1">
      <c r="B994" s="71"/>
      <c r="D994" s="71"/>
    </row>
    <row r="995" spans="2:4" ht="13.5" customHeight="1">
      <c r="B995" s="71"/>
      <c r="D995" s="71"/>
    </row>
    <row r="996" spans="2:4" ht="13.5" customHeight="1">
      <c r="B996" s="71"/>
      <c r="D996" s="71"/>
    </row>
    <row r="997" spans="2:4" ht="13.5" customHeight="1">
      <c r="B997" s="71"/>
      <c r="D997" s="71"/>
    </row>
    <row r="998" spans="2:4" ht="13.5" customHeight="1">
      <c r="B998" s="71"/>
      <c r="D998" s="71"/>
    </row>
    <row r="999" spans="2:4" ht="13.5" customHeight="1">
      <c r="B999" s="71"/>
      <c r="D999" s="71"/>
    </row>
    <row r="1000" spans="2:4" ht="13.5" customHeight="1">
      <c r="B1000" s="71"/>
      <c r="D1000" s="71"/>
    </row>
    <row r="1001" spans="2:4" ht="13.5" customHeight="1">
      <c r="B1001" s="71"/>
      <c r="D1001" s="71"/>
    </row>
    <row r="1002" spans="2:4" ht="13.5" customHeight="1">
      <c r="B1002" s="71"/>
      <c r="D1002" s="71"/>
    </row>
    <row r="1003" spans="2:4" ht="13.5" customHeight="1">
      <c r="B1003" s="71"/>
      <c r="D1003" s="71"/>
    </row>
    <row r="1004" spans="2:4" ht="13.5" customHeight="1">
      <c r="B1004" s="71"/>
      <c r="D1004" s="71"/>
    </row>
    <row r="1005" spans="2:4" ht="13.5" customHeight="1">
      <c r="B1005" s="71"/>
      <c r="D1005" s="71"/>
    </row>
    <row r="1006" spans="2:4" ht="13.5" customHeight="1">
      <c r="B1006" s="71"/>
      <c r="D1006" s="71"/>
    </row>
    <row r="1007" spans="2:4" ht="13.5" customHeight="1">
      <c r="B1007" s="71"/>
      <c r="D1007" s="71"/>
    </row>
    <row r="1008" spans="2:4" ht="13.5" customHeight="1">
      <c r="B1008" s="71"/>
      <c r="D1008" s="71"/>
    </row>
    <row r="1009" spans="2:4" ht="13.5" customHeight="1">
      <c r="B1009" s="71"/>
      <c r="D1009" s="71"/>
    </row>
    <row r="1010" spans="2:4" ht="13.5" customHeight="1">
      <c r="B1010" s="71"/>
      <c r="D1010" s="71"/>
    </row>
    <row r="1011" spans="2:4" ht="13.5" customHeight="1">
      <c r="B1011" s="71"/>
      <c r="D1011" s="71"/>
    </row>
    <row r="1012" spans="2:4" ht="13.5" customHeight="1">
      <c r="B1012" s="71"/>
      <c r="D1012" s="71"/>
    </row>
    <row r="1013" spans="2:4" ht="13.5" customHeight="1">
      <c r="B1013" s="71"/>
      <c r="D1013" s="71"/>
    </row>
    <row r="1014" spans="2:4" ht="13.5" customHeight="1">
      <c r="B1014" s="71"/>
      <c r="D1014" s="71"/>
    </row>
    <row r="1015" spans="2:4" ht="13.5" customHeight="1">
      <c r="B1015" s="71"/>
      <c r="D1015" s="71"/>
    </row>
    <row r="1016" spans="2:4" ht="13.5" customHeight="1">
      <c r="B1016" s="71"/>
      <c r="D1016" s="71"/>
    </row>
    <row r="1017" spans="2:4" ht="13.5" customHeight="1">
      <c r="B1017" s="71"/>
      <c r="D1017" s="71"/>
    </row>
    <row r="1018" spans="2:4" ht="13.5" customHeight="1">
      <c r="B1018" s="71"/>
      <c r="D1018" s="71"/>
    </row>
    <row r="1019" spans="2:4" ht="13.5" customHeight="1">
      <c r="B1019" s="71"/>
      <c r="D1019" s="71"/>
    </row>
    <row r="1020" spans="2:4" ht="13.5" customHeight="1">
      <c r="B1020" s="71"/>
      <c r="D1020" s="71"/>
    </row>
    <row r="1021" spans="2:4" ht="13.5" customHeight="1">
      <c r="B1021" s="71"/>
      <c r="D1021" s="71"/>
    </row>
    <row r="1022" spans="2:4" ht="13.5" customHeight="1">
      <c r="B1022" s="71"/>
      <c r="D1022" s="71"/>
    </row>
    <row r="1023" spans="2:4" ht="13.5" customHeight="1">
      <c r="B1023" s="71"/>
      <c r="D1023" s="71"/>
    </row>
    <row r="1024" spans="2:4" ht="13.5" customHeight="1">
      <c r="B1024" s="71"/>
      <c r="D1024" s="71"/>
    </row>
    <row r="1025" spans="2:4" ht="13.5" customHeight="1">
      <c r="B1025" s="71"/>
      <c r="D1025" s="71"/>
    </row>
    <row r="1026" spans="2:4" ht="13.5" customHeight="1">
      <c r="B1026" s="71"/>
      <c r="D1026" s="71"/>
    </row>
    <row r="1027" spans="2:4" ht="13.5" customHeight="1">
      <c r="B1027" s="71"/>
      <c r="D1027" s="71"/>
    </row>
    <row r="1028" spans="2:4" ht="13.5" customHeight="1">
      <c r="B1028" s="71"/>
      <c r="D1028" s="71"/>
    </row>
    <row r="1029" spans="2:4" ht="13.5" customHeight="1">
      <c r="B1029" s="71"/>
      <c r="D1029" s="71"/>
    </row>
    <row r="1030" spans="2:4" ht="13.5" customHeight="1">
      <c r="B1030" s="71"/>
      <c r="D1030" s="71"/>
    </row>
    <row r="1031" spans="2:4" ht="13.5" customHeight="1">
      <c r="B1031" s="71"/>
      <c r="D1031" s="71"/>
    </row>
    <row r="1032" spans="2:4" ht="13.5" customHeight="1">
      <c r="B1032" s="71"/>
      <c r="D1032" s="71"/>
    </row>
    <row r="1033" spans="2:4" ht="13.5" customHeight="1">
      <c r="B1033" s="71"/>
      <c r="D1033" s="71"/>
    </row>
    <row r="1034" spans="2:4" ht="13.5" customHeight="1">
      <c r="B1034" s="71"/>
      <c r="D1034" s="71"/>
    </row>
    <row r="1035" spans="2:4" ht="13.5" customHeight="1">
      <c r="B1035" s="71"/>
      <c r="D1035" s="71"/>
    </row>
    <row r="1036" spans="2:4" ht="13.5" customHeight="1">
      <c r="B1036" s="71"/>
      <c r="D1036" s="71"/>
    </row>
    <row r="1037" spans="2:4" ht="13.5" customHeight="1">
      <c r="B1037" s="71"/>
      <c r="D1037" s="71"/>
    </row>
    <row r="1038" spans="2:4" ht="13.5" customHeight="1">
      <c r="B1038" s="71"/>
      <c r="D1038" s="71"/>
    </row>
    <row r="1039" spans="2:4" ht="13.5" customHeight="1">
      <c r="B1039" s="71"/>
      <c r="D1039" s="71"/>
    </row>
    <row r="1040" spans="2:4" ht="13.5" customHeight="1">
      <c r="B1040" s="71"/>
      <c r="D1040" s="71"/>
    </row>
    <row r="1041" spans="2:4" ht="13.5" customHeight="1">
      <c r="B1041" s="71"/>
      <c r="D1041" s="71"/>
    </row>
    <row r="1042" spans="2:4" ht="13.5" customHeight="1">
      <c r="B1042" s="71"/>
      <c r="D1042" s="71"/>
    </row>
    <row r="1043" spans="2:4" ht="13.5" customHeight="1">
      <c r="B1043" s="71"/>
      <c r="D1043" s="71"/>
    </row>
    <row r="1044" spans="2:4" ht="13.5" customHeight="1">
      <c r="B1044" s="71"/>
      <c r="D1044" s="71"/>
    </row>
    <row r="1045" spans="2:4" ht="13.5" customHeight="1">
      <c r="B1045" s="71"/>
      <c r="D1045" s="71"/>
    </row>
    <row r="1046" spans="2:4" ht="13.5" customHeight="1">
      <c r="B1046" s="71"/>
      <c r="D1046" s="71"/>
    </row>
    <row r="1047" spans="2:4" ht="13.5" customHeight="1">
      <c r="B1047" s="71"/>
      <c r="D1047" s="71"/>
    </row>
    <row r="1048" spans="2:4" ht="13.5" customHeight="1">
      <c r="B1048" s="71"/>
      <c r="D1048" s="71"/>
    </row>
    <row r="1049" spans="2:4" ht="13.5" customHeight="1">
      <c r="B1049" s="71"/>
      <c r="D1049" s="71"/>
    </row>
    <row r="1050" spans="2:4" ht="13.5" customHeight="1">
      <c r="B1050" s="71"/>
      <c r="D1050" s="71"/>
    </row>
    <row r="1051" spans="2:4" ht="13.5" customHeight="1">
      <c r="B1051" s="71"/>
      <c r="D1051" s="71"/>
    </row>
    <row r="1052" spans="2:4" ht="13.5" customHeight="1">
      <c r="B1052" s="71"/>
      <c r="D1052" s="71"/>
    </row>
    <row r="1053" spans="2:4" ht="13.5" customHeight="1">
      <c r="B1053" s="71"/>
      <c r="D1053" s="71"/>
    </row>
    <row r="1054" spans="2:4" ht="13.5" customHeight="1">
      <c r="B1054" s="71"/>
      <c r="D1054" s="71"/>
    </row>
    <row r="1055" spans="2:4" ht="13.5" customHeight="1">
      <c r="B1055" s="71"/>
      <c r="D1055" s="71"/>
    </row>
    <row r="1056" spans="2:4" ht="13.5" customHeight="1">
      <c r="B1056" s="71"/>
      <c r="D1056" s="71"/>
    </row>
    <row r="1057" spans="2:4" ht="13.5" customHeight="1">
      <c r="B1057" s="71"/>
      <c r="D1057" s="71"/>
    </row>
    <row r="1058" spans="2:4" ht="13.5" customHeight="1">
      <c r="B1058" s="71"/>
      <c r="D1058" s="71"/>
    </row>
    <row r="1059" spans="2:4" ht="13.5" customHeight="1">
      <c r="B1059" s="71"/>
      <c r="D1059" s="71"/>
    </row>
    <row r="1060" spans="2:4" ht="13.5" customHeight="1">
      <c r="B1060" s="71"/>
      <c r="D1060" s="71"/>
    </row>
    <row r="1061" spans="2:4" ht="13.5" customHeight="1">
      <c r="B1061" s="71"/>
      <c r="D1061" s="71"/>
    </row>
    <row r="1062" spans="2:4" ht="13.5" customHeight="1">
      <c r="B1062" s="71"/>
      <c r="D1062" s="71"/>
    </row>
    <row r="1063" spans="2:4" ht="13.5" customHeight="1">
      <c r="B1063" s="71"/>
      <c r="D1063" s="71"/>
    </row>
    <row r="1064" spans="2:4" ht="13.5" customHeight="1">
      <c r="B1064" s="71"/>
      <c r="D1064" s="71"/>
    </row>
    <row r="1065" spans="2:4" ht="13.5" customHeight="1">
      <c r="B1065" s="71"/>
      <c r="D1065" s="71"/>
    </row>
    <row r="1066" spans="2:4" ht="13.5" customHeight="1">
      <c r="B1066" s="71"/>
      <c r="D1066" s="71"/>
    </row>
    <row r="1067" spans="2:4" ht="13.5" customHeight="1">
      <c r="B1067" s="71"/>
      <c r="D1067" s="71"/>
    </row>
    <row r="1068" spans="2:4" ht="13.5" customHeight="1">
      <c r="B1068" s="71"/>
      <c r="D1068" s="71"/>
    </row>
    <row r="1069" spans="2:4" ht="13.5" customHeight="1">
      <c r="B1069" s="71"/>
      <c r="D1069" s="71"/>
    </row>
    <row r="1070" spans="2:4" ht="13.5" customHeight="1">
      <c r="B1070" s="71"/>
      <c r="D1070" s="71"/>
    </row>
    <row r="1071" spans="2:4" ht="13.5" customHeight="1">
      <c r="B1071" s="71"/>
      <c r="D1071" s="71"/>
    </row>
    <row r="1072" spans="2:4" ht="13.5" customHeight="1">
      <c r="B1072" s="71"/>
      <c r="D1072" s="71"/>
    </row>
    <row r="1073" spans="2:4" ht="15" customHeight="1">
      <c r="B1073" s="71"/>
      <c r="D1073" s="71"/>
    </row>
    <row r="1074" spans="2:4" ht="15" customHeight="1">
      <c r="B1074" s="71"/>
      <c r="D1074" s="71"/>
    </row>
    <row r="1075" spans="2:4" ht="15" customHeight="1">
      <c r="B1075" s="71"/>
      <c r="D1075" s="71"/>
    </row>
    <row r="1076" spans="2:4" ht="15" customHeight="1">
      <c r="B1076" s="71"/>
      <c r="D1076" s="71"/>
    </row>
    <row r="1077" spans="2:4" ht="15" customHeight="1">
      <c r="B1077" s="71"/>
      <c r="D1077" s="71"/>
    </row>
    <row r="1078" spans="2:4" ht="15" customHeight="1">
      <c r="B1078" s="71"/>
      <c r="D1078" s="71"/>
    </row>
    <row r="1079" spans="2:4" ht="15" customHeight="1">
      <c r="B1079" s="71"/>
      <c r="D1079" s="71"/>
    </row>
    <row r="1080" spans="2:4" ht="15" customHeight="1">
      <c r="B1080" s="71"/>
      <c r="D1080" s="71"/>
    </row>
    <row r="1081" spans="2:4" ht="15" customHeight="1">
      <c r="B1081" s="71"/>
      <c r="D1081" s="71"/>
    </row>
    <row r="1082" spans="2:4" ht="15" customHeight="1">
      <c r="B1082" s="71"/>
      <c r="D1082" s="71"/>
    </row>
    <row r="1083" spans="2:4" ht="15" customHeight="1">
      <c r="B1083" s="71"/>
      <c r="D1083" s="71"/>
    </row>
    <row r="1084" spans="2:4" ht="15" customHeight="1">
      <c r="B1084" s="71"/>
      <c r="D1084" s="71"/>
    </row>
    <row r="1085" spans="2:4" ht="15" customHeight="1">
      <c r="B1085" s="71"/>
      <c r="D1085" s="71"/>
    </row>
    <row r="1086" spans="2:4" ht="15" customHeight="1">
      <c r="B1086" s="71"/>
      <c r="D1086" s="71"/>
    </row>
    <row r="1087" spans="2:4" ht="15" customHeight="1">
      <c r="B1087" s="71"/>
      <c r="D1087" s="71"/>
    </row>
    <row r="1088" spans="2:4" ht="15" customHeight="1">
      <c r="B1088" s="71"/>
      <c r="D1088" s="71"/>
    </row>
    <row r="1089" spans="2:4" ht="15" customHeight="1">
      <c r="B1089" s="71"/>
      <c r="D1089" s="71"/>
    </row>
    <row r="1090" spans="2:4" ht="15" customHeight="1">
      <c r="B1090" s="71"/>
      <c r="D1090" s="71"/>
    </row>
    <row r="1091" spans="2:4" ht="15" customHeight="1">
      <c r="B1091" s="71"/>
      <c r="D1091" s="71"/>
    </row>
    <row r="1092" spans="2:4" ht="15" customHeight="1">
      <c r="B1092" s="71"/>
      <c r="D1092" s="71"/>
    </row>
    <row r="1093" spans="2:4" ht="15" customHeight="1">
      <c r="B1093" s="71"/>
      <c r="D1093" s="71"/>
    </row>
    <row r="1094" spans="2:4" ht="15" customHeight="1">
      <c r="B1094" s="71"/>
      <c r="D1094" s="71"/>
    </row>
    <row r="1095" spans="2:4" ht="15" customHeight="1">
      <c r="B1095" s="71"/>
      <c r="D1095" s="71"/>
    </row>
    <row r="1096" spans="2:4" ht="15" customHeight="1">
      <c r="B1096" s="71"/>
      <c r="D1096" s="71"/>
    </row>
    <row r="1097" spans="2:4" ht="15" customHeight="1">
      <c r="B1097" s="71"/>
      <c r="D1097" s="71"/>
    </row>
    <row r="1098" spans="2:4" ht="15" customHeight="1">
      <c r="B1098" s="71"/>
      <c r="D1098" s="71"/>
    </row>
    <row r="1099" spans="2:4" ht="15" customHeight="1">
      <c r="B1099" s="71"/>
      <c r="D1099" s="71"/>
    </row>
    <row r="1100" spans="2:4" ht="15" customHeight="1">
      <c r="B1100" s="71"/>
      <c r="D1100" s="71"/>
    </row>
    <row r="1101" spans="2:4" ht="15" customHeight="1">
      <c r="B1101" s="71"/>
      <c r="D1101" s="71"/>
    </row>
    <row r="1102" spans="2:4" ht="15" customHeight="1">
      <c r="B1102" s="71"/>
      <c r="D1102" s="71"/>
    </row>
    <row r="1103" spans="2:4" ht="15" customHeight="1">
      <c r="B1103" s="71"/>
      <c r="D1103" s="71"/>
    </row>
    <row r="1104" spans="2:4" ht="15" customHeight="1">
      <c r="B1104" s="71"/>
      <c r="D1104" s="71"/>
    </row>
    <row r="1105" spans="2:4" ht="15" customHeight="1">
      <c r="B1105" s="71"/>
      <c r="D1105" s="71"/>
    </row>
    <row r="1106" spans="2:4" ht="15" customHeight="1">
      <c r="B1106" s="71"/>
      <c r="D1106" s="71"/>
    </row>
    <row r="1107" spans="2:4" ht="15" customHeight="1">
      <c r="B1107" s="71"/>
      <c r="D1107" s="71"/>
    </row>
    <row r="1108" spans="2:4" ht="15" customHeight="1">
      <c r="B1108" s="71"/>
      <c r="D1108" s="71"/>
    </row>
    <row r="1109" spans="2:4" ht="15" customHeight="1">
      <c r="B1109" s="71"/>
      <c r="D1109" s="71"/>
    </row>
    <row r="1110" spans="2:4" ht="15" customHeight="1">
      <c r="B1110" s="71"/>
      <c r="D1110" s="71"/>
    </row>
    <row r="1111" spans="2:4" ht="15" customHeight="1">
      <c r="B1111" s="71"/>
      <c r="D1111" s="71"/>
    </row>
    <row r="1112" spans="2:4" ht="15" customHeight="1">
      <c r="B1112" s="71"/>
      <c r="D1112" s="71"/>
    </row>
    <row r="1113" spans="2:4" ht="15" customHeight="1">
      <c r="B1113" s="71"/>
      <c r="D1113" s="71"/>
    </row>
    <row r="1114" spans="2:4" ht="15" customHeight="1">
      <c r="B1114" s="71"/>
      <c r="D1114" s="71"/>
    </row>
    <row r="1115" spans="2:4" ht="15" customHeight="1">
      <c r="B1115" s="71"/>
      <c r="D1115" s="71"/>
    </row>
    <row r="1116" spans="2:4" ht="15" customHeight="1">
      <c r="B1116" s="71"/>
      <c r="D1116" s="71"/>
    </row>
    <row r="1117" spans="2:4" ht="15" customHeight="1">
      <c r="B1117" s="71"/>
      <c r="D1117" s="71"/>
    </row>
    <row r="1118" spans="2:4" ht="15" customHeight="1">
      <c r="B1118" s="71"/>
      <c r="D1118" s="71"/>
    </row>
    <row r="1119" spans="2:4" ht="15" customHeight="1">
      <c r="B1119" s="71"/>
      <c r="D1119" s="71"/>
    </row>
    <row r="1120" spans="2:4" ht="15" customHeight="1">
      <c r="B1120" s="71"/>
      <c r="D1120" s="71"/>
    </row>
    <row r="1121" spans="2:4" ht="15" customHeight="1">
      <c r="B1121" s="71"/>
      <c r="D1121" s="71"/>
    </row>
    <row r="1122" spans="2:4" ht="15" customHeight="1">
      <c r="B1122" s="71"/>
      <c r="D1122" s="71"/>
    </row>
    <row r="1123" spans="2:4" ht="15" customHeight="1">
      <c r="B1123" s="71"/>
      <c r="D1123" s="71"/>
    </row>
    <row r="1124" spans="2:4" ht="15" customHeight="1">
      <c r="B1124" s="71"/>
      <c r="D1124" s="71"/>
    </row>
    <row r="1125" spans="2:4" ht="15" customHeight="1">
      <c r="B1125" s="71"/>
      <c r="D1125" s="71"/>
    </row>
    <row r="1126" spans="2:4" ht="15" customHeight="1">
      <c r="B1126" s="71"/>
      <c r="D1126" s="71"/>
    </row>
    <row r="1127" spans="2:4" ht="15" customHeight="1">
      <c r="B1127" s="71"/>
      <c r="D1127" s="71"/>
    </row>
    <row r="1128" spans="2:4" ht="15" customHeight="1">
      <c r="B1128" s="71"/>
      <c r="D1128" s="71"/>
    </row>
    <row r="1129" spans="2:4" ht="15" customHeight="1">
      <c r="B1129" s="71"/>
      <c r="D1129" s="71"/>
    </row>
    <row r="1130" spans="2:4" ht="15" customHeight="1">
      <c r="B1130" s="71"/>
      <c r="D1130" s="71"/>
    </row>
    <row r="1131" spans="2:4" ht="15" customHeight="1">
      <c r="B1131" s="71"/>
      <c r="D1131" s="71"/>
    </row>
    <row r="1132" spans="2:4" ht="15" customHeight="1">
      <c r="B1132" s="71"/>
      <c r="D1132" s="71"/>
    </row>
    <row r="1133" spans="2:4" ht="15" customHeight="1">
      <c r="B1133" s="71"/>
      <c r="D1133" s="71"/>
    </row>
    <row r="1134" spans="2:4" ht="15" customHeight="1">
      <c r="B1134" s="71"/>
      <c r="D1134" s="71"/>
    </row>
    <row r="1135" spans="2:4" ht="15" customHeight="1">
      <c r="B1135" s="71"/>
      <c r="D1135" s="71"/>
    </row>
    <row r="1136" spans="2:4" ht="15" customHeight="1">
      <c r="B1136" s="71"/>
      <c r="D1136" s="71"/>
    </row>
    <row r="1137" spans="2:4" ht="15" customHeight="1">
      <c r="B1137" s="71"/>
      <c r="D1137" s="71"/>
    </row>
    <row r="1138" spans="2:4" ht="15" customHeight="1">
      <c r="B1138" s="71"/>
      <c r="D1138" s="71"/>
    </row>
    <row r="1139" spans="2:4" ht="15" customHeight="1">
      <c r="B1139" s="71"/>
      <c r="D1139" s="71"/>
    </row>
    <row r="1140" spans="2:4" ht="15" customHeight="1">
      <c r="B1140" s="71"/>
      <c r="D1140" s="71"/>
    </row>
    <row r="1141" spans="2:4" ht="15" customHeight="1">
      <c r="B1141" s="71"/>
      <c r="D1141" s="71"/>
    </row>
    <row r="1142" spans="2:4" ht="15" customHeight="1">
      <c r="B1142" s="71"/>
      <c r="D1142" s="71"/>
    </row>
    <row r="1143" spans="2:4" ht="15" customHeight="1">
      <c r="B1143" s="71"/>
      <c r="D1143" s="71"/>
    </row>
    <row r="1144" spans="2:4" ht="15" customHeight="1">
      <c r="B1144" s="71"/>
      <c r="D1144" s="71"/>
    </row>
    <row r="1145" spans="2:4" ht="15" customHeight="1">
      <c r="B1145" s="71"/>
      <c r="D1145" s="71"/>
    </row>
    <row r="1146" spans="2:4" ht="15" customHeight="1">
      <c r="B1146" s="71"/>
      <c r="D1146" s="71"/>
    </row>
    <row r="1147" spans="2:4" ht="15" customHeight="1">
      <c r="B1147" s="71"/>
      <c r="D1147" s="71"/>
    </row>
    <row r="1148" spans="2:4" ht="15" customHeight="1">
      <c r="B1148" s="71"/>
      <c r="D1148" s="71"/>
    </row>
    <row r="1149" spans="2:4" ht="15" customHeight="1">
      <c r="B1149" s="71"/>
      <c r="D1149" s="71"/>
    </row>
    <row r="1150" spans="2:4" ht="15" customHeight="1">
      <c r="B1150" s="71"/>
      <c r="D1150" s="71"/>
    </row>
    <row r="1151" spans="2:4" ht="15" customHeight="1">
      <c r="B1151" s="71"/>
      <c r="D1151" s="71"/>
    </row>
    <row r="1152" spans="2:4" ht="15" customHeight="1">
      <c r="B1152" s="71"/>
      <c r="D1152" s="71"/>
    </row>
    <row r="1153" spans="2:4" ht="15" customHeight="1">
      <c r="B1153" s="71"/>
      <c r="D1153" s="71"/>
    </row>
    <row r="1154" spans="2:4" ht="15" customHeight="1">
      <c r="B1154" s="71"/>
      <c r="D1154" s="71"/>
    </row>
    <row r="1155" spans="2:4" ht="15" customHeight="1">
      <c r="B1155" s="71"/>
      <c r="D1155" s="71"/>
    </row>
    <row r="1156" spans="2:4" ht="15" customHeight="1">
      <c r="B1156" s="71"/>
      <c r="D1156" s="71"/>
    </row>
    <row r="1157" spans="2:4" ht="15" customHeight="1">
      <c r="B1157" s="71"/>
      <c r="D1157" s="71"/>
    </row>
    <row r="1158" spans="2:4" ht="15" customHeight="1">
      <c r="B1158" s="71"/>
      <c r="D1158" s="71"/>
    </row>
    <row r="1159" spans="2:4" ht="15" customHeight="1">
      <c r="B1159" s="71"/>
      <c r="D1159" s="71"/>
    </row>
    <row r="1160" spans="2:4" ht="15" customHeight="1">
      <c r="B1160" s="71"/>
      <c r="D1160" s="71"/>
    </row>
    <row r="1161" spans="2:4" ht="15" customHeight="1">
      <c r="B1161" s="71"/>
      <c r="D1161" s="71"/>
    </row>
    <row r="1162" spans="2:4" ht="15" customHeight="1">
      <c r="B1162" s="71"/>
      <c r="D1162" s="71"/>
    </row>
    <row r="1163" spans="2:4" ht="15" customHeight="1">
      <c r="B1163" s="71"/>
      <c r="D1163" s="71"/>
    </row>
    <row r="1164" spans="2:4" ht="15" customHeight="1">
      <c r="B1164" s="71"/>
      <c r="D1164" s="71"/>
    </row>
    <row r="1165" spans="2:4" ht="15" customHeight="1">
      <c r="B1165" s="71"/>
      <c r="D1165" s="71"/>
    </row>
    <row r="1166" spans="2:4" ht="15" customHeight="1">
      <c r="B1166" s="71"/>
      <c r="D1166" s="71"/>
    </row>
    <row r="1167" spans="2:4" ht="15" customHeight="1">
      <c r="B1167" s="71"/>
      <c r="D1167" s="71"/>
    </row>
    <row r="1168" spans="2:4" ht="15" customHeight="1">
      <c r="B1168" s="71"/>
      <c r="D1168" s="71"/>
    </row>
    <row r="1169" spans="2:4" ht="15" customHeight="1">
      <c r="B1169" s="71"/>
      <c r="D1169" s="71"/>
    </row>
    <row r="1170" spans="2:4" ht="15" customHeight="1">
      <c r="B1170" s="71"/>
      <c r="D1170" s="71"/>
    </row>
    <row r="1171" spans="2:4" ht="15" customHeight="1">
      <c r="B1171" s="71"/>
      <c r="D1171" s="71"/>
    </row>
    <row r="1172" spans="2:4" ht="15" customHeight="1">
      <c r="B1172" s="71"/>
      <c r="D1172" s="71"/>
    </row>
    <row r="1173" spans="2:4" ht="15" customHeight="1">
      <c r="B1173" s="71"/>
      <c r="D1173" s="71"/>
    </row>
    <row r="1174" spans="2:4" ht="15" customHeight="1">
      <c r="B1174" s="71"/>
      <c r="D1174" s="71"/>
    </row>
    <row r="1175" spans="2:4" ht="15" customHeight="1">
      <c r="B1175" s="71"/>
      <c r="D1175" s="71"/>
    </row>
    <row r="1176" spans="2:4" ht="15" customHeight="1">
      <c r="B1176" s="71"/>
      <c r="D1176" s="71"/>
    </row>
    <row r="1177" spans="2:4" ht="15" customHeight="1">
      <c r="B1177" s="71"/>
      <c r="D1177" s="71"/>
    </row>
    <row r="1178" spans="2:4" ht="15" customHeight="1">
      <c r="B1178" s="71"/>
      <c r="D1178" s="71"/>
    </row>
    <row r="1179" spans="2:4" ht="15" customHeight="1">
      <c r="B1179" s="71"/>
      <c r="D1179" s="71"/>
    </row>
    <row r="1180" spans="2:4" ht="15" customHeight="1">
      <c r="B1180" s="71"/>
      <c r="D1180" s="71"/>
    </row>
    <row r="1181" spans="2:4" ht="15" customHeight="1">
      <c r="B1181" s="71"/>
      <c r="D1181" s="71"/>
    </row>
    <row r="1182" spans="2:4" ht="15" customHeight="1">
      <c r="B1182" s="71"/>
      <c r="D1182" s="71"/>
    </row>
    <row r="1183" spans="2:4" ht="15" customHeight="1">
      <c r="B1183" s="71"/>
      <c r="D1183" s="71"/>
    </row>
    <row r="1184" spans="2:4" ht="15" customHeight="1">
      <c r="B1184" s="71"/>
      <c r="D1184" s="71"/>
    </row>
    <row r="1185" spans="2:4" ht="15" customHeight="1">
      <c r="B1185" s="71"/>
      <c r="D1185" s="71"/>
    </row>
    <row r="1186" spans="2:4" ht="15" customHeight="1">
      <c r="B1186" s="71"/>
      <c r="D1186" s="71"/>
    </row>
    <row r="1187" spans="2:4" ht="15" customHeight="1">
      <c r="B1187" s="71"/>
      <c r="D1187" s="71"/>
    </row>
    <row r="1188" spans="2:4" ht="15" customHeight="1">
      <c r="B1188" s="71"/>
      <c r="D1188" s="71"/>
    </row>
    <row r="1189" spans="2:4" ht="15" customHeight="1">
      <c r="B1189" s="71"/>
      <c r="D1189" s="71"/>
    </row>
    <row r="1190" spans="2:4" ht="15" customHeight="1">
      <c r="B1190" s="71"/>
      <c r="D1190" s="71"/>
    </row>
    <row r="1191" spans="2:4" ht="15" customHeight="1">
      <c r="B1191" s="71"/>
      <c r="D1191" s="71"/>
    </row>
    <row r="1192" spans="2:4" ht="15" customHeight="1">
      <c r="B1192" s="71"/>
      <c r="D1192" s="71"/>
    </row>
    <row r="1193" spans="2:4" ht="15" customHeight="1">
      <c r="B1193" s="71"/>
      <c r="D1193" s="71"/>
    </row>
    <row r="1194" spans="2:4" ht="15" customHeight="1">
      <c r="B1194" s="71"/>
      <c r="D1194" s="71"/>
    </row>
    <row r="1195" spans="2:4" ht="15" customHeight="1">
      <c r="B1195" s="71"/>
      <c r="D1195" s="71"/>
    </row>
    <row r="1196" spans="2:4" ht="15" customHeight="1">
      <c r="B1196" s="71"/>
      <c r="D1196" s="71"/>
    </row>
    <row r="1197" spans="2:4" ht="15" customHeight="1">
      <c r="B1197" s="71"/>
      <c r="D1197" s="71"/>
    </row>
    <row r="1198" spans="2:4" ht="15" customHeight="1">
      <c r="B1198" s="71"/>
      <c r="D1198" s="71"/>
    </row>
    <row r="1199" spans="2:4" ht="15" customHeight="1">
      <c r="B1199" s="71"/>
      <c r="D1199" s="71"/>
    </row>
    <row r="1200" spans="2:4" ht="15" customHeight="1">
      <c r="B1200" s="71"/>
      <c r="D1200" s="71"/>
    </row>
    <row r="1201" spans="2:4" ht="15" customHeight="1">
      <c r="B1201" s="71"/>
      <c r="D1201" s="71"/>
    </row>
    <row r="1202" spans="2:4" ht="15" customHeight="1">
      <c r="B1202" s="71"/>
      <c r="D1202" s="71"/>
    </row>
    <row r="1203" spans="2:4" ht="15" customHeight="1">
      <c r="B1203" s="71"/>
      <c r="D1203" s="71"/>
    </row>
    <row r="1204" spans="2:4" ht="15" customHeight="1">
      <c r="B1204" s="71"/>
      <c r="D1204" s="71"/>
    </row>
    <row r="1205" spans="2:4" ht="15" customHeight="1">
      <c r="B1205" s="71"/>
      <c r="D1205" s="71"/>
    </row>
    <row r="1206" spans="2:4" ht="15" customHeight="1">
      <c r="B1206" s="71"/>
      <c r="D1206" s="71"/>
    </row>
    <row r="1207" spans="2:4" ht="15" customHeight="1">
      <c r="B1207" s="71"/>
      <c r="D1207" s="71"/>
    </row>
    <row r="1208" spans="2:4" ht="15" customHeight="1">
      <c r="B1208" s="71"/>
      <c r="D1208" s="71"/>
    </row>
    <row r="1209" spans="2:4" ht="15" customHeight="1">
      <c r="B1209" s="71"/>
      <c r="D1209" s="71"/>
    </row>
    <row r="1210" spans="2:4" ht="15" customHeight="1">
      <c r="B1210" s="71"/>
      <c r="D1210" s="71"/>
    </row>
  </sheetData>
  <mergeCells count="2">
    <mergeCell ref="A1:K1"/>
    <mergeCell ref="A2:K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showGridLines="0" workbookViewId="0">
      <pane ySplit="3" topLeftCell="A4" activePane="bottomLeft" state="frozen"/>
      <selection pane="bottomLeft" activeCell="B13" sqref="B13:B14"/>
    </sheetView>
  </sheetViews>
  <sheetFormatPr baseColWidth="10" defaultColWidth="8.88671875" defaultRowHeight="14.4"/>
  <cols>
    <col min="1" max="1" width="10" customWidth="1"/>
    <col min="2" max="2" width="42" customWidth="1"/>
    <col min="3" max="3" width="6" customWidth="1"/>
    <col min="4" max="4" width="8" customWidth="1"/>
    <col min="5" max="5" width="12" customWidth="1"/>
    <col min="6" max="6" width="14" customWidth="1"/>
    <col min="7" max="8" width="16" customWidth="1"/>
    <col min="9" max="9" width="10" customWidth="1"/>
  </cols>
  <sheetData>
    <row r="1" spans="1:9" ht="23.4">
      <c r="A1" s="375" t="s">
        <v>26</v>
      </c>
      <c r="B1" s="371"/>
      <c r="C1" s="371"/>
      <c r="D1" s="371"/>
      <c r="E1" s="371"/>
      <c r="F1" s="371"/>
      <c r="G1" s="371"/>
      <c r="H1" s="371"/>
      <c r="I1" s="371"/>
    </row>
    <row r="2" spans="1:9">
      <c r="A2" s="376" t="s">
        <v>27</v>
      </c>
      <c r="B2" s="371"/>
      <c r="C2" s="371"/>
      <c r="D2" s="371"/>
      <c r="E2" s="371"/>
      <c r="F2" s="371"/>
      <c r="G2" s="371"/>
      <c r="H2" s="371"/>
      <c r="I2" s="371"/>
    </row>
    <row r="3" spans="1:9" ht="24" customHeight="1">
      <c r="A3" s="11" t="s">
        <v>28</v>
      </c>
      <c r="B3" s="11" t="s">
        <v>29</v>
      </c>
      <c r="C3" s="11" t="s">
        <v>30</v>
      </c>
      <c r="D3" s="11" t="s">
        <v>31</v>
      </c>
      <c r="E3" s="11" t="s">
        <v>32</v>
      </c>
      <c r="F3" s="11" t="s">
        <v>33</v>
      </c>
      <c r="G3" s="11" t="s">
        <v>34</v>
      </c>
      <c r="H3" s="11" t="s">
        <v>21</v>
      </c>
      <c r="I3" s="11" t="s">
        <v>35</v>
      </c>
    </row>
    <row r="4" spans="1:9">
      <c r="A4" s="396" t="s">
        <v>36</v>
      </c>
      <c r="B4" s="12" t="s">
        <v>170</v>
      </c>
      <c r="C4" s="13"/>
      <c r="D4" s="13"/>
      <c r="E4" s="13"/>
      <c r="F4" s="13"/>
      <c r="G4" s="14">
        <f>SUMIFS(G5:G101,A5:A101,"01.*")</f>
        <v>142763638.14668578</v>
      </c>
      <c r="H4" s="14">
        <f>SUMIFS(H5:H101,A5:A101,"01.*")</f>
        <v>639000000</v>
      </c>
      <c r="I4" s="15">
        <f t="shared" ref="I4:I29" si="0">IFERROR(H4/G4,0)</f>
        <v>4.475929643537417</v>
      </c>
    </row>
    <row r="5" spans="1:9">
      <c r="A5" s="397" t="s">
        <v>37</v>
      </c>
      <c r="B5" s="17" t="s">
        <v>3185</v>
      </c>
      <c r="C5" s="18"/>
      <c r="D5" s="19" t="s">
        <v>38</v>
      </c>
      <c r="E5" s="20">
        <v>250</v>
      </c>
      <c r="F5" s="21">
        <f>APU_F0!G22</f>
        <v>30824.122555199996</v>
      </c>
      <c r="G5" s="22">
        <f>E5*F5</f>
        <v>7706030.6387999989</v>
      </c>
      <c r="H5" s="21">
        <v>20000000</v>
      </c>
      <c r="I5" s="23">
        <f t="shared" si="0"/>
        <v>2.5953699040981815</v>
      </c>
    </row>
    <row r="6" spans="1:9">
      <c r="A6" s="398" t="s">
        <v>39</v>
      </c>
      <c r="B6" s="32" t="s">
        <v>3186</v>
      </c>
      <c r="D6" s="364" t="s">
        <v>2943</v>
      </c>
      <c r="E6" s="20">
        <v>1</v>
      </c>
      <c r="F6" s="21">
        <f>APU_F0!G31</f>
        <v>875824.261485792</v>
      </c>
      <c r="G6" s="22">
        <f>E6*F6</f>
        <v>875824.261485792</v>
      </c>
      <c r="H6" s="21"/>
      <c r="I6" s="23"/>
    </row>
    <row r="7" spans="1:9">
      <c r="A7" s="398" t="s">
        <v>3191</v>
      </c>
      <c r="B7" s="32" t="s">
        <v>3187</v>
      </c>
      <c r="D7" s="364" t="s">
        <v>2881</v>
      </c>
      <c r="E7" s="20">
        <v>1</v>
      </c>
      <c r="F7" s="21">
        <f>APU_F0!G50</f>
        <v>5070172.0776000004</v>
      </c>
      <c r="G7" s="22">
        <f>E7*F7</f>
        <v>5070172.0776000004</v>
      </c>
      <c r="H7" s="21"/>
      <c r="I7" s="23"/>
    </row>
    <row r="8" spans="1:9">
      <c r="A8" s="398" t="s">
        <v>3192</v>
      </c>
      <c r="B8" s="32" t="s">
        <v>3188</v>
      </c>
      <c r="D8" s="364" t="s">
        <v>3105</v>
      </c>
      <c r="E8" s="20">
        <v>2</v>
      </c>
      <c r="F8" s="21">
        <f>APU_F0!G58/2</f>
        <v>467400</v>
      </c>
      <c r="G8" s="22">
        <f>E8*F8</f>
        <v>934800</v>
      </c>
      <c r="H8" s="21"/>
      <c r="I8" s="23"/>
    </row>
    <row r="9" spans="1:9">
      <c r="A9" s="398" t="s">
        <v>3193</v>
      </c>
      <c r="B9" s="32" t="s">
        <v>3143</v>
      </c>
      <c r="D9" s="364" t="s">
        <v>2881</v>
      </c>
      <c r="E9" s="20">
        <v>1</v>
      </c>
      <c r="F9" s="21">
        <f>APU_F0!G71</f>
        <v>1741651.1688000001</v>
      </c>
      <c r="G9" s="22">
        <f>E9*F9</f>
        <v>1741651.1688000001</v>
      </c>
      <c r="H9" s="21"/>
      <c r="I9" s="23"/>
    </row>
    <row r="10" spans="1:9">
      <c r="A10" s="398" t="s">
        <v>3194</v>
      </c>
      <c r="B10" s="32" t="s">
        <v>3189</v>
      </c>
      <c r="D10" s="364" t="s">
        <v>2881</v>
      </c>
      <c r="E10" s="20">
        <v>1</v>
      </c>
      <c r="F10" s="21">
        <f>APU_F0!E78</f>
        <v>2680000</v>
      </c>
      <c r="G10" s="22">
        <f>E10*F10</f>
        <v>2680000</v>
      </c>
      <c r="H10" s="21"/>
      <c r="I10" s="23"/>
    </row>
    <row r="11" spans="1:9">
      <c r="A11" s="398" t="s">
        <v>3195</v>
      </c>
      <c r="B11" s="32" t="s">
        <v>3147</v>
      </c>
      <c r="D11" s="364" t="s">
        <v>2881</v>
      </c>
      <c r="E11" s="20">
        <v>1</v>
      </c>
      <c r="F11" s="21">
        <f>APU_F0!E79</f>
        <v>50520000</v>
      </c>
      <c r="G11" s="22">
        <f>E11*F11</f>
        <v>50520000</v>
      </c>
      <c r="H11" s="21"/>
      <c r="I11" s="23"/>
    </row>
    <row r="12" spans="1:9">
      <c r="A12" s="398" t="s">
        <v>3196</v>
      </c>
      <c r="B12" s="32" t="s">
        <v>3149</v>
      </c>
      <c r="D12" s="364" t="s">
        <v>2881</v>
      </c>
      <c r="E12" s="20">
        <v>1</v>
      </c>
      <c r="F12" s="21">
        <f>APU_F0!E80</f>
        <v>1843160</v>
      </c>
      <c r="G12" s="22">
        <f>E12*F12</f>
        <v>1843160</v>
      </c>
      <c r="H12" s="21"/>
      <c r="I12" s="23"/>
    </row>
    <row r="13" spans="1:9">
      <c r="A13" s="398" t="s">
        <v>3197</v>
      </c>
      <c r="B13" s="399" t="s">
        <v>3151</v>
      </c>
      <c r="C13" s="18"/>
      <c r="D13" s="19" t="s">
        <v>2881</v>
      </c>
      <c r="E13" s="20">
        <v>1</v>
      </c>
      <c r="F13" s="21">
        <f>APU_F0!E81</f>
        <v>44992000</v>
      </c>
      <c r="G13" s="22">
        <f>E13*F13</f>
        <v>44992000</v>
      </c>
      <c r="H13" s="21">
        <v>21000000</v>
      </c>
      <c r="I13" s="23">
        <f t="shared" si="0"/>
        <v>0.46674964438122335</v>
      </c>
    </row>
    <row r="14" spans="1:9">
      <c r="A14" s="398" t="s">
        <v>3198</v>
      </c>
      <c r="B14" s="399" t="s">
        <v>3190</v>
      </c>
      <c r="C14" s="18"/>
      <c r="D14" s="19" t="s">
        <v>40</v>
      </c>
      <c r="E14" s="20">
        <v>2200</v>
      </c>
      <c r="F14" s="21">
        <v>12000</v>
      </c>
      <c r="G14" s="22">
        <f>E14*F14</f>
        <v>26400000</v>
      </c>
      <c r="H14" s="21">
        <f>SUMIFS(H4:H107,A4:A107,"02.*")</f>
        <v>598000000</v>
      </c>
      <c r="I14" s="23">
        <f t="shared" si="0"/>
        <v>22.651515151515152</v>
      </c>
    </row>
    <row r="15" spans="1:9">
      <c r="A15" s="396" t="s">
        <v>41</v>
      </c>
      <c r="B15" s="12" t="s">
        <v>3199</v>
      </c>
      <c r="C15" s="13"/>
      <c r="D15" s="13"/>
      <c r="E15" s="13"/>
      <c r="F15" s="13"/>
      <c r="G15" s="14">
        <f>SUMIFS(G16:G110,A16:A110,"02.*")</f>
        <v>1974800000</v>
      </c>
      <c r="H15" s="14">
        <f>SUMIFS(H16:H110,A16:A110,"02.*")</f>
        <v>598000000</v>
      </c>
      <c r="I15" s="15"/>
    </row>
    <row r="16" spans="1:9">
      <c r="A16" s="16" t="s">
        <v>42</v>
      </c>
      <c r="B16" s="17" t="s">
        <v>43</v>
      </c>
      <c r="C16" s="18"/>
      <c r="D16" s="19" t="s">
        <v>44</v>
      </c>
      <c r="E16" s="20">
        <v>3200</v>
      </c>
      <c r="F16" s="21">
        <v>45000</v>
      </c>
      <c r="G16" s="22">
        <f>E16*F16</f>
        <v>144000000</v>
      </c>
      <c r="H16" s="21">
        <v>144000000</v>
      </c>
      <c r="I16" s="23">
        <f t="shared" si="0"/>
        <v>1</v>
      </c>
    </row>
    <row r="17" spans="1:9">
      <c r="A17" s="16" t="s">
        <v>45</v>
      </c>
      <c r="B17" s="17" t="s">
        <v>46</v>
      </c>
      <c r="C17" s="18"/>
      <c r="D17" s="19" t="s">
        <v>38</v>
      </c>
      <c r="E17" s="20">
        <v>860</v>
      </c>
      <c r="F17" s="21">
        <v>280000</v>
      </c>
      <c r="G17" s="22">
        <f>E17*F17</f>
        <v>240800000</v>
      </c>
      <c r="H17" s="21">
        <v>241000000</v>
      </c>
      <c r="I17" s="23">
        <f t="shared" si="0"/>
        <v>1.0008305647840532</v>
      </c>
    </row>
    <row r="18" spans="1:9">
      <c r="A18" s="16" t="s">
        <v>47</v>
      </c>
      <c r="B18" s="17" t="s">
        <v>48</v>
      </c>
      <c r="C18" s="24" t="s">
        <v>30</v>
      </c>
      <c r="D18" s="19" t="s">
        <v>44</v>
      </c>
      <c r="E18" s="20">
        <v>420</v>
      </c>
      <c r="F18" s="21">
        <v>380000</v>
      </c>
      <c r="G18" s="22">
        <f>E18*F18</f>
        <v>159600000</v>
      </c>
      <c r="H18" s="21">
        <v>188000000</v>
      </c>
      <c r="I18" s="23">
        <f t="shared" si="0"/>
        <v>1.1779448621553885</v>
      </c>
    </row>
    <row r="19" spans="1:9">
      <c r="A19" s="16" t="s">
        <v>49</v>
      </c>
      <c r="B19" s="17" t="s">
        <v>50</v>
      </c>
      <c r="C19" s="18"/>
      <c r="D19" s="19" t="s">
        <v>51</v>
      </c>
      <c r="E19" s="20">
        <v>48000</v>
      </c>
      <c r="F19" s="21">
        <v>3800</v>
      </c>
      <c r="G19" s="22">
        <f>E19*F19</f>
        <v>182400000</v>
      </c>
      <c r="H19" s="21">
        <v>25000000</v>
      </c>
      <c r="I19" s="23">
        <f t="shared" si="0"/>
        <v>0.13706140350877194</v>
      </c>
    </row>
    <row r="20" spans="1:9">
      <c r="A20" s="16" t="s">
        <v>52</v>
      </c>
      <c r="B20" s="17" t="s">
        <v>53</v>
      </c>
      <c r="C20" s="24" t="s">
        <v>30</v>
      </c>
      <c r="D20" s="19" t="s">
        <v>40</v>
      </c>
      <c r="E20" s="20">
        <v>2400</v>
      </c>
      <c r="F20" s="21">
        <v>520000</v>
      </c>
      <c r="G20" s="22">
        <f>E20*F20</f>
        <v>1248000000</v>
      </c>
      <c r="H20" s="21">
        <v>0</v>
      </c>
      <c r="I20" s="23">
        <f t="shared" si="0"/>
        <v>0</v>
      </c>
    </row>
    <row r="21" spans="1:9">
      <c r="A21" s="12" t="s">
        <v>54</v>
      </c>
      <c r="B21" s="12" t="s">
        <v>55</v>
      </c>
      <c r="C21" s="13"/>
      <c r="D21" s="13"/>
      <c r="E21" s="13"/>
      <c r="F21" s="13"/>
      <c r="G21" s="14">
        <f>SUMIFS(G4:G107,A4:A107,"03.*")</f>
        <v>490800000</v>
      </c>
      <c r="H21" s="14">
        <f>SUMIFS(H4:H107,A4:A107,"03.*")</f>
        <v>0</v>
      </c>
      <c r="I21" s="15">
        <f t="shared" si="0"/>
        <v>0</v>
      </c>
    </row>
    <row r="22" spans="1:9">
      <c r="A22" s="16" t="s">
        <v>56</v>
      </c>
      <c r="B22" s="17" t="s">
        <v>57</v>
      </c>
      <c r="C22" s="18"/>
      <c r="D22" s="19" t="s">
        <v>58</v>
      </c>
      <c r="E22" s="20">
        <v>840</v>
      </c>
      <c r="F22" s="21">
        <v>320000</v>
      </c>
      <c r="G22" s="22">
        <f>E22*F22</f>
        <v>268800000</v>
      </c>
      <c r="H22" s="21">
        <v>0</v>
      </c>
      <c r="I22" s="23">
        <f t="shared" si="0"/>
        <v>0</v>
      </c>
    </row>
    <row r="23" spans="1:9">
      <c r="A23" s="16" t="s">
        <v>59</v>
      </c>
      <c r="B23" s="17" t="s">
        <v>60</v>
      </c>
      <c r="C23" s="18"/>
      <c r="D23" s="19" t="s">
        <v>58</v>
      </c>
      <c r="E23" s="20">
        <v>1200</v>
      </c>
      <c r="F23" s="21">
        <v>185000</v>
      </c>
      <c r="G23" s="22">
        <f>E23*F23</f>
        <v>222000000</v>
      </c>
      <c r="H23" s="21">
        <v>0</v>
      </c>
      <c r="I23" s="23">
        <f t="shared" si="0"/>
        <v>0</v>
      </c>
    </row>
    <row r="24" spans="1:9">
      <c r="A24" s="12" t="s">
        <v>61</v>
      </c>
      <c r="B24" s="12" t="s">
        <v>62</v>
      </c>
      <c r="C24" s="13"/>
      <c r="D24" s="13"/>
      <c r="E24" s="13"/>
      <c r="F24" s="13"/>
      <c r="G24" s="14">
        <f>SUMIFS(G4:G107,A4:A107,"04.*")</f>
        <v>241200000</v>
      </c>
      <c r="H24" s="14">
        <f>SUMIFS(H4:H107,A4:A107,"04.*")</f>
        <v>0</v>
      </c>
      <c r="I24" s="15">
        <f t="shared" si="0"/>
        <v>0</v>
      </c>
    </row>
    <row r="25" spans="1:9">
      <c r="A25" s="16" t="s">
        <v>63</v>
      </c>
      <c r="B25" s="17" t="s">
        <v>64</v>
      </c>
      <c r="C25" s="18"/>
      <c r="D25" s="19" t="s">
        <v>40</v>
      </c>
      <c r="E25" s="20">
        <v>4200</v>
      </c>
      <c r="F25" s="21">
        <v>38000</v>
      </c>
      <c r="G25" s="22">
        <f>E25*F25</f>
        <v>159600000</v>
      </c>
      <c r="H25" s="21">
        <v>0</v>
      </c>
      <c r="I25" s="23">
        <f t="shared" si="0"/>
        <v>0</v>
      </c>
    </row>
    <row r="26" spans="1:9">
      <c r="A26" s="16" t="s">
        <v>65</v>
      </c>
      <c r="B26" s="17" t="s">
        <v>66</v>
      </c>
      <c r="C26" s="18"/>
      <c r="D26" s="19" t="s">
        <v>40</v>
      </c>
      <c r="E26" s="20">
        <v>680</v>
      </c>
      <c r="F26" s="21">
        <v>120000</v>
      </c>
      <c r="G26" s="22">
        <f>E26*F26</f>
        <v>81600000</v>
      </c>
      <c r="H26" s="21">
        <v>0</v>
      </c>
      <c r="I26" s="23">
        <f t="shared" si="0"/>
        <v>0</v>
      </c>
    </row>
    <row r="27" spans="1:9">
      <c r="A27" s="12" t="s">
        <v>67</v>
      </c>
      <c r="B27" s="12" t="s">
        <v>68</v>
      </c>
      <c r="C27" s="13"/>
      <c r="D27" s="13"/>
      <c r="E27" s="13"/>
      <c r="F27" s="13"/>
      <c r="G27" s="14">
        <f>SUMIFS(G4:G107,A4:A107,"05.*")</f>
        <v>39600000</v>
      </c>
      <c r="H27" s="14">
        <f>SUMIFS(H4:H107,A4:A107,"05.*")</f>
        <v>0</v>
      </c>
      <c r="I27" s="15">
        <f t="shared" si="0"/>
        <v>0</v>
      </c>
    </row>
    <row r="28" spans="1:9">
      <c r="A28" s="16" t="s">
        <v>69</v>
      </c>
      <c r="B28" s="17" t="s">
        <v>70</v>
      </c>
      <c r="C28" s="18"/>
      <c r="D28" s="19" t="s">
        <v>40</v>
      </c>
      <c r="E28" s="20">
        <v>450</v>
      </c>
      <c r="F28" s="21">
        <v>88000</v>
      </c>
      <c r="G28" s="22">
        <f>E28*F28</f>
        <v>39600000</v>
      </c>
      <c r="H28" s="21">
        <v>0</v>
      </c>
      <c r="I28" s="23">
        <f t="shared" si="0"/>
        <v>0</v>
      </c>
    </row>
    <row r="29" spans="1:9" ht="15.6">
      <c r="A29" s="25" t="s">
        <v>71</v>
      </c>
      <c r="B29" s="26" t="s">
        <v>72</v>
      </c>
      <c r="C29" s="27"/>
      <c r="D29" s="27"/>
      <c r="E29" s="28"/>
      <c r="F29" s="28"/>
      <c r="G29" s="29">
        <f>G4+G15+G21+G24+G27</f>
        <v>2889163638.1466856</v>
      </c>
      <c r="H29" s="29">
        <f>H4+H15+H21+H24+H27</f>
        <v>1237000000</v>
      </c>
      <c r="I29" s="30">
        <f t="shared" si="0"/>
        <v>0.42815158811617177</v>
      </c>
    </row>
  </sheetData>
  <mergeCells count="2">
    <mergeCell ref="A1:I1"/>
    <mergeCell ref="A2:I2"/>
  </mergeCells>
  <conditionalFormatting sqref="I4:I28">
    <cfRule type="cellIs" dxfId="1" priority="1" operator="greaterThan">
      <formula>1</formula>
    </cfRule>
    <cfRule type="cellIs" dxfId="0" priority="2" operator="between">
      <formula>0.95</formula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0"/>
  <sheetViews>
    <sheetView showGridLines="0" workbookViewId="0">
      <selection activeCell="A11" sqref="A11"/>
    </sheetView>
  </sheetViews>
  <sheetFormatPr baseColWidth="10" defaultColWidth="8.88671875" defaultRowHeight="14.4"/>
  <cols>
    <col min="1" max="1" width="32" customWidth="1"/>
    <col min="2" max="2" width="12" customWidth="1"/>
    <col min="3" max="4" width="14" customWidth="1"/>
    <col min="5" max="5" width="16" customWidth="1"/>
    <col min="6" max="6" width="18" customWidth="1"/>
  </cols>
  <sheetData>
    <row r="1" spans="1:6" ht="23.4">
      <c r="A1" s="375" t="s">
        <v>73</v>
      </c>
      <c r="B1" s="371"/>
      <c r="C1" s="371"/>
      <c r="D1" s="371"/>
      <c r="E1" s="371"/>
      <c r="F1" s="371"/>
    </row>
    <row r="2" spans="1:6">
      <c r="A2" s="376" t="s">
        <v>74</v>
      </c>
      <c r="B2" s="371"/>
      <c r="C2" s="371"/>
      <c r="D2" s="371"/>
      <c r="E2" s="371"/>
      <c r="F2" s="371"/>
    </row>
    <row r="3" spans="1:6">
      <c r="A3" s="6" t="s">
        <v>75</v>
      </c>
      <c r="C3" s="377" t="s">
        <v>76</v>
      </c>
      <c r="D3" s="371"/>
      <c r="E3" s="371"/>
      <c r="F3" s="371"/>
    </row>
    <row r="4" spans="1:6">
      <c r="A4" s="6" t="s">
        <v>77</v>
      </c>
      <c r="C4" s="378" t="s">
        <v>78</v>
      </c>
      <c r="D4" s="371"/>
      <c r="E4" s="371"/>
      <c r="F4" s="371"/>
    </row>
    <row r="6" spans="1:6" ht="15.6">
      <c r="A6" s="379" t="s">
        <v>79</v>
      </c>
      <c r="B6" s="371"/>
      <c r="C6" s="371"/>
      <c r="D6" s="371"/>
      <c r="E6" s="371"/>
      <c r="F6" s="371"/>
    </row>
    <row r="7" spans="1:6">
      <c r="A7" s="31" t="s">
        <v>29</v>
      </c>
      <c r="B7" s="31" t="s">
        <v>31</v>
      </c>
      <c r="C7" s="31" t="s">
        <v>80</v>
      </c>
      <c r="D7" s="31" t="s">
        <v>81</v>
      </c>
      <c r="E7" s="31" t="s">
        <v>33</v>
      </c>
      <c r="F7" s="31" t="s">
        <v>82</v>
      </c>
    </row>
    <row r="8" spans="1:6">
      <c r="A8" s="32" t="s">
        <v>83</v>
      </c>
      <c r="B8" s="19" t="s">
        <v>44</v>
      </c>
      <c r="C8" s="33">
        <v>0.95</v>
      </c>
      <c r="D8" s="34">
        <v>0.05</v>
      </c>
      <c r="E8" s="21">
        <v>360000</v>
      </c>
      <c r="F8" s="22">
        <f>C8*(1+D8)*E8</f>
        <v>359100</v>
      </c>
    </row>
    <row r="9" spans="1:6">
      <c r="A9" s="32" t="s">
        <v>84</v>
      </c>
      <c r="B9" s="19" t="s">
        <v>51</v>
      </c>
      <c r="C9" s="33">
        <v>95</v>
      </c>
      <c r="D9" s="34">
        <v>0.03</v>
      </c>
      <c r="E9" s="21">
        <v>3800</v>
      </c>
      <c r="F9" s="22">
        <f>C9*(1+D9)*E9</f>
        <v>371830.00000000006</v>
      </c>
    </row>
    <row r="10" spans="1:6">
      <c r="A10" s="32" t="s">
        <v>85</v>
      </c>
      <c r="B10" s="19" t="s">
        <v>40</v>
      </c>
      <c r="C10" s="33">
        <v>2</v>
      </c>
      <c r="D10" s="34">
        <v>0.02</v>
      </c>
      <c r="E10" s="21">
        <v>20000</v>
      </c>
      <c r="F10" s="22">
        <f>C10*(1+D10)*E10</f>
        <v>40800</v>
      </c>
    </row>
    <row r="11" spans="1:6">
      <c r="A11" s="32" t="s">
        <v>86</v>
      </c>
      <c r="B11" s="19" t="s">
        <v>87</v>
      </c>
      <c r="C11" s="33">
        <v>1.5</v>
      </c>
      <c r="D11" s="34">
        <v>0</v>
      </c>
      <c r="E11" s="21">
        <v>12000</v>
      </c>
      <c r="F11" s="22">
        <f>C11*(1+D11)*E11</f>
        <v>18000</v>
      </c>
    </row>
    <row r="12" spans="1:6">
      <c r="A12" s="35" t="s">
        <v>88</v>
      </c>
      <c r="B12" s="36"/>
      <c r="C12" s="36"/>
      <c r="D12" s="36"/>
      <c r="E12" s="36"/>
      <c r="F12" s="37">
        <f>SUM(F8:F11)</f>
        <v>789730</v>
      </c>
    </row>
    <row r="14" spans="1:6" ht="15.6">
      <c r="A14" s="379" t="s">
        <v>89</v>
      </c>
      <c r="B14" s="371"/>
      <c r="C14" s="371"/>
      <c r="D14" s="371"/>
      <c r="E14" s="371"/>
      <c r="F14" s="371"/>
    </row>
    <row r="15" spans="1:6">
      <c r="A15" s="31" t="s">
        <v>90</v>
      </c>
      <c r="B15" s="31" t="s">
        <v>31</v>
      </c>
      <c r="C15" s="31" t="s">
        <v>91</v>
      </c>
      <c r="D15" s="31" t="s">
        <v>92</v>
      </c>
      <c r="E15" s="31" t="s">
        <v>93</v>
      </c>
      <c r="F15" s="31" t="s">
        <v>82</v>
      </c>
    </row>
    <row r="16" spans="1:6">
      <c r="A16" s="32" t="s">
        <v>94</v>
      </c>
      <c r="B16" s="19" t="s">
        <v>95</v>
      </c>
      <c r="C16" s="33">
        <v>0.8</v>
      </c>
      <c r="D16" s="34">
        <v>0.35</v>
      </c>
      <c r="E16" s="21">
        <v>65000</v>
      </c>
      <c r="F16" s="22">
        <f>C16*(1+D16)*E16</f>
        <v>70200</v>
      </c>
    </row>
    <row r="17" spans="1:6">
      <c r="A17" s="32" t="s">
        <v>96</v>
      </c>
      <c r="B17" s="19" t="s">
        <v>95</v>
      </c>
      <c r="C17" s="33">
        <v>1.6</v>
      </c>
      <c r="D17" s="34">
        <v>0.35</v>
      </c>
      <c r="E17" s="21">
        <v>45000</v>
      </c>
      <c r="F17" s="22">
        <f>C17*(1+D17)*E17</f>
        <v>97200</v>
      </c>
    </row>
    <row r="18" spans="1:6">
      <c r="A18" s="32" t="s">
        <v>97</v>
      </c>
      <c r="B18" s="19" t="s">
        <v>98</v>
      </c>
      <c r="C18" s="33">
        <v>0.5</v>
      </c>
      <c r="D18" s="34">
        <v>0</v>
      </c>
      <c r="E18" s="21">
        <v>18000</v>
      </c>
      <c r="F18" s="22">
        <f>C18*(1+D18)*E18</f>
        <v>9000</v>
      </c>
    </row>
    <row r="19" spans="1:6">
      <c r="A19" s="32" t="s">
        <v>99</v>
      </c>
      <c r="B19" s="19" t="s">
        <v>98</v>
      </c>
      <c r="C19" s="33">
        <v>0.25</v>
      </c>
      <c r="D19" s="34">
        <v>0</v>
      </c>
      <c r="E19" s="21">
        <v>85000</v>
      </c>
      <c r="F19" s="22">
        <f>C19*(1+D19)*E19</f>
        <v>21250</v>
      </c>
    </row>
    <row r="20" spans="1:6">
      <c r="A20" s="35" t="s">
        <v>100</v>
      </c>
      <c r="B20" s="36"/>
      <c r="C20" s="36"/>
      <c r="D20" s="36"/>
      <c r="E20" s="36"/>
      <c r="F20" s="38">
        <f>SUM(F16:F19)</f>
        <v>197650</v>
      </c>
    </row>
    <row r="22" spans="1:6" ht="15.6">
      <c r="A22" s="379" t="s">
        <v>101</v>
      </c>
      <c r="B22" s="371"/>
      <c r="C22" s="371"/>
      <c r="D22" s="371"/>
      <c r="E22" s="371"/>
      <c r="F22" s="371"/>
    </row>
    <row r="24" spans="1:6">
      <c r="A24" s="39" t="s">
        <v>102</v>
      </c>
      <c r="B24" s="18"/>
      <c r="C24" s="18"/>
      <c r="D24" s="18"/>
      <c r="E24" s="18"/>
      <c r="F24" s="22">
        <f>F12+F20</f>
        <v>987380</v>
      </c>
    </row>
    <row r="25" spans="1:6">
      <c r="A25" s="39" t="s">
        <v>103</v>
      </c>
      <c r="B25" s="18"/>
      <c r="C25" s="18"/>
      <c r="D25" s="18"/>
      <c r="E25" s="18"/>
      <c r="F25" s="34">
        <v>0.3</v>
      </c>
    </row>
    <row r="26" spans="1:6">
      <c r="A26" s="39" t="s">
        <v>104</v>
      </c>
      <c r="B26" s="18"/>
      <c r="C26" s="18"/>
      <c r="D26" s="18"/>
      <c r="E26" s="18"/>
      <c r="F26" s="22">
        <f>F24*F25</f>
        <v>296214</v>
      </c>
    </row>
    <row r="27" spans="1:6">
      <c r="A27" s="40" t="s">
        <v>105</v>
      </c>
      <c r="B27" s="41"/>
      <c r="C27" s="41"/>
      <c r="D27" s="41"/>
      <c r="E27" s="41"/>
      <c r="F27" s="42">
        <f>F24+F26</f>
        <v>1283594</v>
      </c>
    </row>
    <row r="28" spans="1:6">
      <c r="A28" s="40" t="s">
        <v>106</v>
      </c>
      <c r="B28" s="41"/>
      <c r="C28" s="41"/>
      <c r="D28" s="41"/>
      <c r="E28" s="41"/>
      <c r="F28" s="43" t="e">
        <f>EDT!#REF!/EDT!#REF!</f>
        <v>#REF!</v>
      </c>
    </row>
    <row r="29" spans="1:6">
      <c r="A29" s="39" t="s">
        <v>107</v>
      </c>
      <c r="B29" s="18"/>
      <c r="C29" s="18"/>
      <c r="D29" s="18"/>
      <c r="E29" s="18"/>
      <c r="F29" s="22" t="e">
        <f>F28-F27</f>
        <v>#REF!</v>
      </c>
    </row>
    <row r="30" spans="1:6">
      <c r="A30" s="39" t="s">
        <v>108</v>
      </c>
      <c r="B30" s="18"/>
      <c r="C30" s="18"/>
      <c r="D30" s="18"/>
      <c r="E30" s="18"/>
      <c r="F30" s="23">
        <f>IFERROR(F29/F27,0)</f>
        <v>0</v>
      </c>
    </row>
    <row r="33" spans="1:6">
      <c r="A33" s="6" t="s">
        <v>75</v>
      </c>
      <c r="C33" s="377" t="s">
        <v>76</v>
      </c>
      <c r="D33" s="371"/>
      <c r="E33" s="371"/>
      <c r="F33" s="371"/>
    </row>
    <row r="34" spans="1:6">
      <c r="A34" s="6" t="s">
        <v>77</v>
      </c>
      <c r="C34" s="378" t="s">
        <v>78</v>
      </c>
      <c r="D34" s="371"/>
      <c r="E34" s="371"/>
      <c r="F34" s="371"/>
    </row>
    <row r="36" spans="1:6" ht="15.6">
      <c r="A36" s="379" t="s">
        <v>79</v>
      </c>
      <c r="B36" s="371"/>
      <c r="C36" s="371"/>
      <c r="D36" s="371"/>
      <c r="E36" s="371"/>
      <c r="F36" s="371"/>
    </row>
    <row r="37" spans="1:6">
      <c r="A37" s="31" t="s">
        <v>29</v>
      </c>
      <c r="B37" s="31" t="s">
        <v>31</v>
      </c>
      <c r="C37" s="31" t="s">
        <v>80</v>
      </c>
      <c r="D37" s="31" t="s">
        <v>81</v>
      </c>
      <c r="E37" s="31" t="s">
        <v>33</v>
      </c>
      <c r="F37" s="31" t="s">
        <v>82</v>
      </c>
    </row>
    <row r="38" spans="1:6">
      <c r="A38" s="32" t="s">
        <v>83</v>
      </c>
      <c r="B38" s="19" t="s">
        <v>44</v>
      </c>
      <c r="C38" s="33">
        <v>0.95</v>
      </c>
      <c r="D38" s="34">
        <v>0.05</v>
      </c>
      <c r="E38" s="21">
        <v>360000</v>
      </c>
      <c r="F38" s="22">
        <f>C38*(1+D38)*E38</f>
        <v>359100</v>
      </c>
    </row>
    <row r="39" spans="1:6">
      <c r="A39" s="32" t="s">
        <v>84</v>
      </c>
      <c r="B39" s="19" t="s">
        <v>51</v>
      </c>
      <c r="C39" s="33">
        <v>95</v>
      </c>
      <c r="D39" s="34">
        <v>0.03</v>
      </c>
      <c r="E39" s="21">
        <v>3800</v>
      </c>
      <c r="F39" s="22">
        <f>C39*(1+D39)*E39</f>
        <v>371830.00000000006</v>
      </c>
    </row>
    <row r="40" spans="1:6">
      <c r="A40" s="32" t="s">
        <v>85</v>
      </c>
      <c r="B40" s="19" t="s">
        <v>40</v>
      </c>
      <c r="C40" s="33">
        <v>2</v>
      </c>
      <c r="D40" s="34">
        <v>0.02</v>
      </c>
      <c r="E40" s="21">
        <v>20000</v>
      </c>
      <c r="F40" s="22">
        <f>C40*(1+D40)*E40</f>
        <v>40800</v>
      </c>
    </row>
    <row r="41" spans="1:6">
      <c r="A41" s="32" t="s">
        <v>86</v>
      </c>
      <c r="B41" s="19" t="s">
        <v>87</v>
      </c>
      <c r="C41" s="33">
        <v>1.5</v>
      </c>
      <c r="D41" s="34">
        <v>0</v>
      </c>
      <c r="E41" s="21">
        <v>12000</v>
      </c>
      <c r="F41" s="22">
        <f>C41*(1+D41)*E41</f>
        <v>18000</v>
      </c>
    </row>
    <row r="42" spans="1:6">
      <c r="A42" s="35" t="s">
        <v>88</v>
      </c>
      <c r="B42" s="36"/>
      <c r="C42" s="36"/>
      <c r="D42" s="36"/>
      <c r="E42" s="36"/>
      <c r="F42" s="37">
        <f>SUM(F38:F41)</f>
        <v>789730</v>
      </c>
    </row>
    <row r="44" spans="1:6" ht="15.6">
      <c r="A44" s="379" t="s">
        <v>89</v>
      </c>
      <c r="B44" s="371"/>
      <c r="C44" s="371"/>
      <c r="D44" s="371"/>
      <c r="E44" s="371"/>
      <c r="F44" s="371"/>
    </row>
    <row r="45" spans="1:6">
      <c r="A45" s="31" t="s">
        <v>90</v>
      </c>
      <c r="B45" s="31" t="s">
        <v>31</v>
      </c>
      <c r="C45" s="31" t="s">
        <v>91</v>
      </c>
      <c r="D45" s="31" t="s">
        <v>92</v>
      </c>
      <c r="E45" s="31" t="s">
        <v>93</v>
      </c>
      <c r="F45" s="31" t="s">
        <v>82</v>
      </c>
    </row>
    <row r="46" spans="1:6">
      <c r="A46" s="32" t="s">
        <v>94</v>
      </c>
      <c r="B46" s="19" t="s">
        <v>95</v>
      </c>
      <c r="C46" s="33">
        <v>0.8</v>
      </c>
      <c r="D46" s="34">
        <v>0.35</v>
      </c>
      <c r="E46" s="21">
        <v>65000</v>
      </c>
      <c r="F46" s="22">
        <f>C46*(1+D46)*E46</f>
        <v>70200</v>
      </c>
    </row>
    <row r="47" spans="1:6">
      <c r="A47" s="32" t="s">
        <v>96</v>
      </c>
      <c r="B47" s="19" t="s">
        <v>95</v>
      </c>
      <c r="C47" s="33">
        <v>1.6</v>
      </c>
      <c r="D47" s="34">
        <v>0.35</v>
      </c>
      <c r="E47" s="21">
        <v>45000</v>
      </c>
      <c r="F47" s="22">
        <f>C47*(1+D47)*E47</f>
        <v>97200</v>
      </c>
    </row>
    <row r="48" spans="1:6">
      <c r="A48" s="32" t="s">
        <v>97</v>
      </c>
      <c r="B48" s="19" t="s">
        <v>98</v>
      </c>
      <c r="C48" s="33">
        <v>0.5</v>
      </c>
      <c r="D48" s="34">
        <v>0</v>
      </c>
      <c r="E48" s="21">
        <v>18000</v>
      </c>
      <c r="F48" s="22">
        <f>C48*(1+D48)*E48</f>
        <v>9000</v>
      </c>
    </row>
    <row r="49" spans="1:6">
      <c r="A49" s="32" t="s">
        <v>99</v>
      </c>
      <c r="B49" s="19" t="s">
        <v>98</v>
      </c>
      <c r="C49" s="33">
        <v>0.25</v>
      </c>
      <c r="D49" s="34">
        <v>0</v>
      </c>
      <c r="E49" s="21">
        <v>85000</v>
      </c>
      <c r="F49" s="22">
        <f>C49*(1+D49)*E49</f>
        <v>21250</v>
      </c>
    </row>
    <row r="50" spans="1:6">
      <c r="A50" s="35" t="s">
        <v>100</v>
      </c>
      <c r="B50" s="36"/>
      <c r="C50" s="36"/>
      <c r="D50" s="36"/>
      <c r="E50" s="36"/>
      <c r="F50" s="38">
        <f>SUM(F46:F49)</f>
        <v>197650</v>
      </c>
    </row>
    <row r="52" spans="1:6" ht="15.6">
      <c r="A52" s="379" t="s">
        <v>101</v>
      </c>
      <c r="B52" s="371"/>
      <c r="C52" s="371"/>
      <c r="D52" s="371"/>
      <c r="E52" s="371"/>
      <c r="F52" s="371"/>
    </row>
    <row r="54" spans="1:6">
      <c r="A54" s="39" t="s">
        <v>102</v>
      </c>
      <c r="B54" s="18"/>
      <c r="C54" s="18"/>
      <c r="D54" s="18"/>
      <c r="E54" s="18"/>
      <c r="F54" s="22">
        <f>F42+F50</f>
        <v>987380</v>
      </c>
    </row>
    <row r="55" spans="1:6">
      <c r="A55" s="39" t="s">
        <v>103</v>
      </c>
      <c r="B55" s="18"/>
      <c r="C55" s="18"/>
      <c r="D55" s="18"/>
      <c r="E55" s="18"/>
      <c r="F55" s="34">
        <v>0.3</v>
      </c>
    </row>
    <row r="56" spans="1:6">
      <c r="A56" s="39" t="s">
        <v>104</v>
      </c>
      <c r="B56" s="18"/>
      <c r="C56" s="18"/>
      <c r="D56" s="18"/>
      <c r="E56" s="18"/>
      <c r="F56" s="22">
        <f>F54*F55</f>
        <v>296214</v>
      </c>
    </row>
    <row r="57" spans="1:6">
      <c r="A57" s="40" t="s">
        <v>105</v>
      </c>
      <c r="B57" s="41"/>
      <c r="C57" s="41"/>
      <c r="D57" s="41"/>
      <c r="E57" s="41"/>
      <c r="F57" s="42">
        <f>F54+F56</f>
        <v>1283594</v>
      </c>
    </row>
    <row r="58" spans="1:6">
      <c r="A58" s="40" t="s">
        <v>106</v>
      </c>
      <c r="B58" s="41"/>
      <c r="C58" s="41"/>
      <c r="D58" s="41"/>
      <c r="E58" s="41"/>
      <c r="F58" s="43">
        <f>EDT!H18/EDT!E18</f>
        <v>447619.04761904763</v>
      </c>
    </row>
    <row r="59" spans="1:6">
      <c r="A59" s="39" t="s">
        <v>107</v>
      </c>
      <c r="B59" s="18"/>
      <c r="C59" s="18"/>
      <c r="D59" s="18"/>
      <c r="E59" s="18"/>
      <c r="F59" s="22">
        <f>F58-F57</f>
        <v>-835974.95238095243</v>
      </c>
    </row>
    <row r="60" spans="1:6">
      <c r="A60" s="39" t="s">
        <v>108</v>
      </c>
      <c r="B60" s="18"/>
      <c r="C60" s="18"/>
      <c r="D60" s="18"/>
      <c r="E60" s="18"/>
      <c r="F60" s="23">
        <f>IFERROR(F59/F57,0)</f>
        <v>-0.65127676849607619</v>
      </c>
    </row>
  </sheetData>
  <mergeCells count="12">
    <mergeCell ref="A2:F2"/>
    <mergeCell ref="C33:F33"/>
    <mergeCell ref="A1:F1"/>
    <mergeCell ref="A52:F52"/>
    <mergeCell ref="C34:F34"/>
    <mergeCell ref="A44:F44"/>
    <mergeCell ref="A36:F36"/>
    <mergeCell ref="C3:F3"/>
    <mergeCell ref="C4:F4"/>
    <mergeCell ref="A6:F6"/>
    <mergeCell ref="A14:F14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C234-2FB2-4BDE-BF85-980B5BA854C2}">
  <dimension ref="A1:M88"/>
  <sheetViews>
    <sheetView tabSelected="1" workbookViewId="0">
      <pane ySplit="5" topLeftCell="A12" activePane="bottomLeft" state="frozen"/>
      <selection pane="bottomLeft" activeCell="A33" sqref="A33:G36"/>
    </sheetView>
  </sheetViews>
  <sheetFormatPr baseColWidth="10" defaultRowHeight="14.4"/>
  <cols>
    <col min="1" max="1" width="10.109375" customWidth="1"/>
    <col min="2" max="2" width="57.21875" customWidth="1"/>
    <col min="3" max="3" width="12" customWidth="1"/>
    <col min="4" max="4" width="14.77734375" customWidth="1"/>
    <col min="5" max="5" width="18.5546875" customWidth="1"/>
    <col min="6" max="6" width="14.77734375" customWidth="1"/>
    <col min="7" max="7" width="20.33203125" customWidth="1"/>
  </cols>
  <sheetData>
    <row r="1" spans="1:13" ht="18">
      <c r="A1" s="317" t="s">
        <v>3106</v>
      </c>
    </row>
    <row r="2" spans="1:13">
      <c r="A2" s="318" t="s">
        <v>2860</v>
      </c>
    </row>
    <row r="3" spans="1:13">
      <c r="A3" s="319" t="s">
        <v>3107</v>
      </c>
    </row>
    <row r="4" spans="1:13">
      <c r="A4" s="319" t="s">
        <v>2862</v>
      </c>
    </row>
    <row r="6" spans="1:13" ht="22.05" customHeight="1">
      <c r="A6" s="320" t="s">
        <v>2863</v>
      </c>
      <c r="B6" s="320" t="s">
        <v>2864</v>
      </c>
      <c r="C6" s="321" t="s">
        <v>2865</v>
      </c>
      <c r="D6" s="321" t="s">
        <v>2866</v>
      </c>
      <c r="E6" s="321" t="s">
        <v>2867</v>
      </c>
      <c r="F6" s="321" t="s">
        <v>2868</v>
      </c>
      <c r="G6" s="321" t="s">
        <v>2869</v>
      </c>
    </row>
    <row r="8" spans="1:13" ht="31.2" customHeight="1">
      <c r="A8" s="322" t="s">
        <v>3108</v>
      </c>
      <c r="B8" s="363" t="s">
        <v>3167</v>
      </c>
      <c r="C8" s="324" t="s">
        <v>38</v>
      </c>
      <c r="D8" s="325" t="s">
        <v>3168</v>
      </c>
    </row>
    <row r="9" spans="1:13" ht="31.2" customHeight="1">
      <c r="A9" s="383">
        <v>1</v>
      </c>
      <c r="B9" s="310" t="s">
        <v>2938</v>
      </c>
      <c r="H9" s="206"/>
    </row>
    <row r="10" spans="1:13" ht="31.2" customHeight="1">
      <c r="A10" s="384">
        <v>1.1000000000000001</v>
      </c>
      <c r="B10" s="32" t="s">
        <v>3169</v>
      </c>
      <c r="C10" s="19" t="s">
        <v>2943</v>
      </c>
      <c r="D10" s="365">
        <v>0.4</v>
      </c>
      <c r="E10" s="366">
        <v>0.05</v>
      </c>
      <c r="F10" s="367">
        <v>12000</v>
      </c>
      <c r="G10" s="368">
        <f>D10*(1+E10)*F10</f>
        <v>5040.0000000000009</v>
      </c>
      <c r="H10" s="316" t="s">
        <v>3165</v>
      </c>
      <c r="I10">
        <v>250</v>
      </c>
      <c r="J10">
        <f>+I10/2</f>
        <v>125</v>
      </c>
    </row>
    <row r="11" spans="1:13" ht="31.2" customHeight="1">
      <c r="A11" s="384">
        <v>1.2</v>
      </c>
      <c r="B11" s="32" t="s">
        <v>3170</v>
      </c>
      <c r="C11" s="19" t="s">
        <v>3171</v>
      </c>
      <c r="D11" s="365">
        <v>0.01</v>
      </c>
      <c r="E11" s="366">
        <v>0.05</v>
      </c>
      <c r="F11" s="367">
        <v>245000</v>
      </c>
      <c r="G11" s="368">
        <f>D11*(1+E11)*F11</f>
        <v>2572.5</v>
      </c>
      <c r="H11" s="316" t="s">
        <v>3164</v>
      </c>
      <c r="J11">
        <v>3</v>
      </c>
      <c r="K11">
        <v>1.5</v>
      </c>
      <c r="L11">
        <v>125</v>
      </c>
      <c r="M11" s="206">
        <f>+L11*K11*F11</f>
        <v>45937500</v>
      </c>
    </row>
    <row r="12" spans="1:13" ht="28.8">
      <c r="A12" s="384">
        <v>1.3</v>
      </c>
      <c r="B12" s="32" t="s">
        <v>3172</v>
      </c>
      <c r="C12" s="19" t="s">
        <v>51</v>
      </c>
      <c r="D12" s="365">
        <v>0.15</v>
      </c>
      <c r="E12" s="366">
        <v>0.05</v>
      </c>
      <c r="F12" s="367">
        <v>4800</v>
      </c>
      <c r="G12" s="368">
        <f>D12*(1+E12)*F12</f>
        <v>756</v>
      </c>
      <c r="H12" s="316" t="s">
        <v>3164</v>
      </c>
      <c r="L12">
        <f>+K12*2</f>
        <v>0</v>
      </c>
    </row>
    <row r="13" spans="1:13">
      <c r="A13" s="384">
        <v>1.4</v>
      </c>
      <c r="B13" s="32" t="s">
        <v>3109</v>
      </c>
      <c r="C13" s="364" t="s">
        <v>2943</v>
      </c>
      <c r="D13" s="365">
        <v>4.0000000000000001E-3</v>
      </c>
      <c r="E13" s="366">
        <v>0</v>
      </c>
      <c r="F13" s="367">
        <v>650000</v>
      </c>
      <c r="G13" s="368">
        <f>D13*(1+E13)*F13</f>
        <v>2600</v>
      </c>
      <c r="H13" s="316"/>
    </row>
    <row r="14" spans="1:13" ht="28.8">
      <c r="A14" s="384">
        <v>1.5</v>
      </c>
      <c r="B14" s="32" t="s">
        <v>3173</v>
      </c>
      <c r="C14" s="19" t="s">
        <v>3166</v>
      </c>
      <c r="D14" s="365">
        <v>0.04</v>
      </c>
      <c r="E14" s="366">
        <v>0.05</v>
      </c>
      <c r="F14" s="367">
        <v>4900</v>
      </c>
      <c r="G14" s="368">
        <f>D14*(1+E14)*F14</f>
        <v>205.8</v>
      </c>
      <c r="H14" s="316" t="s">
        <v>3164</v>
      </c>
    </row>
    <row r="15" spans="1:13" ht="33.6" customHeight="1">
      <c r="A15" s="383">
        <v>2</v>
      </c>
      <c r="B15" s="35" t="s">
        <v>2883</v>
      </c>
      <c r="C15" s="36"/>
      <c r="D15" s="36"/>
      <c r="E15" s="36"/>
      <c r="F15" s="36"/>
      <c r="G15" s="37"/>
      <c r="K15">
        <v>3</v>
      </c>
      <c r="L15">
        <f>250/2</f>
        <v>125</v>
      </c>
      <c r="M15">
        <f>+L15*3</f>
        <v>375</v>
      </c>
    </row>
    <row r="16" spans="1:13">
      <c r="A16" s="384">
        <v>2.1</v>
      </c>
      <c r="B16" s="32" t="s">
        <v>3174</v>
      </c>
      <c r="C16" s="19" t="s">
        <v>95</v>
      </c>
      <c r="D16" s="369">
        <v>8.3000000000000004E-2</v>
      </c>
      <c r="E16" s="34">
        <v>0.52</v>
      </c>
      <c r="F16" s="21">
        <v>58364</v>
      </c>
      <c r="G16" s="22">
        <f>D16*(1+E16)*F16</f>
        <v>7363.2022399999996</v>
      </c>
    </row>
    <row r="17" spans="1:8">
      <c r="A17" s="384">
        <v>2.2000000000000002</v>
      </c>
      <c r="B17" s="32" t="s">
        <v>3175</v>
      </c>
      <c r="C17" s="19" t="s">
        <v>95</v>
      </c>
      <c r="D17" s="369">
        <v>8.3000000000000004E-2</v>
      </c>
      <c r="E17" s="34">
        <v>0.52</v>
      </c>
      <c r="F17" s="21">
        <v>48500</v>
      </c>
      <c r="G17" s="22">
        <f>D17*(1+E17)*F17</f>
        <v>6118.7599999999993</v>
      </c>
    </row>
    <row r="18" spans="1:8">
      <c r="A18" s="383">
        <v>3</v>
      </c>
      <c r="B18" s="382" t="s">
        <v>2874</v>
      </c>
      <c r="C18" s="19"/>
      <c r="D18" s="33"/>
      <c r="E18" s="34"/>
      <c r="F18" s="21"/>
      <c r="G18" s="22"/>
    </row>
    <row r="19" spans="1:8">
      <c r="A19" s="384">
        <v>3.1</v>
      </c>
      <c r="B19" s="32" t="s">
        <v>3176</v>
      </c>
      <c r="C19" s="19" t="s">
        <v>2881</v>
      </c>
      <c r="D19" s="33">
        <v>1</v>
      </c>
      <c r="E19" s="34">
        <v>0</v>
      </c>
      <c r="F19" s="21">
        <f>ROUND((G16+G17)*0.03,0)</f>
        <v>404</v>
      </c>
      <c r="G19" s="22">
        <f>F19</f>
        <v>404</v>
      </c>
    </row>
    <row r="20" spans="1:8">
      <c r="B20" s="335" t="s">
        <v>3110</v>
      </c>
      <c r="G20" s="336">
        <f>SUM(G10:G19)</f>
        <v>25060.262239999996</v>
      </c>
    </row>
    <row r="21" spans="1:8">
      <c r="B21" s="337" t="s">
        <v>2891</v>
      </c>
      <c r="G21" s="338">
        <f>G20*0.23</f>
        <v>5763.8603151999996</v>
      </c>
    </row>
    <row r="22" spans="1:8">
      <c r="B22" s="340" t="s">
        <v>3111</v>
      </c>
      <c r="G22" s="341">
        <f>G20+G21</f>
        <v>30824.122555199996</v>
      </c>
    </row>
    <row r="23" spans="1:8">
      <c r="B23" s="340"/>
      <c r="G23" s="341"/>
    </row>
    <row r="24" spans="1:8" ht="22.05" customHeight="1">
      <c r="A24" s="320" t="s">
        <v>2863</v>
      </c>
      <c r="B24" s="320" t="s">
        <v>2864</v>
      </c>
      <c r="C24" s="321" t="s">
        <v>2865</v>
      </c>
      <c r="D24" s="321" t="s">
        <v>2866</v>
      </c>
      <c r="E24" s="321" t="s">
        <v>2867</v>
      </c>
      <c r="F24" s="321" t="s">
        <v>2868</v>
      </c>
      <c r="G24" s="321" t="s">
        <v>2869</v>
      </c>
    </row>
    <row r="26" spans="1:8" ht="31.2" customHeight="1">
      <c r="A26" s="322" t="s">
        <v>3108</v>
      </c>
      <c r="B26" s="363" t="s">
        <v>3177</v>
      </c>
      <c r="C26" s="324" t="s">
        <v>38</v>
      </c>
      <c r="D26" s="325" t="s">
        <v>3168</v>
      </c>
    </row>
    <row r="28" spans="1:8">
      <c r="A28" s="384">
        <v>1.4</v>
      </c>
      <c r="B28" s="32" t="s">
        <v>3109</v>
      </c>
      <c r="C28" s="364" t="s">
        <v>2943</v>
      </c>
      <c r="D28" s="365">
        <v>1</v>
      </c>
      <c r="E28" s="366">
        <v>0</v>
      </c>
      <c r="F28" s="367">
        <v>650000</v>
      </c>
      <c r="G28" s="368">
        <f>D28*(1+E28)*F28</f>
        <v>650000</v>
      </c>
      <c r="H28" s="316"/>
    </row>
    <row r="29" spans="1:8">
      <c r="A29" s="387"/>
      <c r="B29" s="335" t="s">
        <v>3110</v>
      </c>
      <c r="G29" s="336">
        <f>SUM(G19:G28)</f>
        <v>712052.24511040002</v>
      </c>
    </row>
    <row r="30" spans="1:8">
      <c r="A30" s="387"/>
      <c r="B30" s="337" t="s">
        <v>2891</v>
      </c>
      <c r="G30" s="338">
        <f>G29*0.23</f>
        <v>163772.01637539201</v>
      </c>
    </row>
    <row r="31" spans="1:8">
      <c r="A31" s="387"/>
      <c r="B31" s="340" t="s">
        <v>3111</v>
      </c>
      <c r="G31" s="341">
        <f>G29+G30</f>
        <v>875824.261485792</v>
      </c>
    </row>
    <row r="32" spans="1:8">
      <c r="A32" s="387"/>
      <c r="B32" s="340"/>
      <c r="G32" s="341"/>
    </row>
    <row r="33" spans="1:7">
      <c r="A33" s="320" t="s">
        <v>2863</v>
      </c>
      <c r="B33" s="320" t="s">
        <v>2864</v>
      </c>
      <c r="C33" s="321" t="s">
        <v>2865</v>
      </c>
      <c r="D33" s="321" t="s">
        <v>2866</v>
      </c>
      <c r="E33" s="321" t="s">
        <v>2867</v>
      </c>
      <c r="F33" s="321" t="s">
        <v>2868</v>
      </c>
      <c r="G33" s="321" t="s">
        <v>2869</v>
      </c>
    </row>
    <row r="34" spans="1:7" ht="25.8" customHeight="1">
      <c r="A34" s="322" t="s">
        <v>3112</v>
      </c>
      <c r="B34" s="363" t="s">
        <v>3178</v>
      </c>
      <c r="C34" s="322" t="s">
        <v>2881</v>
      </c>
      <c r="D34" s="322" t="s">
        <v>3113</v>
      </c>
      <c r="E34" s="322"/>
      <c r="F34" s="322"/>
      <c r="G34" s="322"/>
    </row>
    <row r="35" spans="1:7">
      <c r="A35" s="385">
        <v>1</v>
      </c>
      <c r="B35" s="310" t="s">
        <v>2938</v>
      </c>
      <c r="C35" s="19"/>
      <c r="D35" s="33"/>
      <c r="E35" s="34"/>
      <c r="F35" s="21"/>
      <c r="G35" s="22"/>
    </row>
    <row r="36" spans="1:7">
      <c r="A36" s="384">
        <v>1.1000000000000001</v>
      </c>
      <c r="B36" s="388" t="s">
        <v>3179</v>
      </c>
      <c r="C36" s="389" t="s">
        <v>3180</v>
      </c>
      <c r="D36" s="390">
        <v>60</v>
      </c>
      <c r="E36" s="366">
        <v>0.05</v>
      </c>
      <c r="F36" s="367">
        <v>12000</v>
      </c>
      <c r="G36" s="22">
        <f t="shared" ref="G36:G41" si="0">D36*(1+E36)*F36</f>
        <v>756000</v>
      </c>
    </row>
    <row r="37" spans="1:7">
      <c r="A37" s="384">
        <v>1.2</v>
      </c>
      <c r="B37" s="388" t="s">
        <v>3181</v>
      </c>
      <c r="C37" s="389" t="s">
        <v>40</v>
      </c>
      <c r="D37" s="390">
        <v>46</v>
      </c>
      <c r="E37" s="366">
        <v>0.1</v>
      </c>
      <c r="F37" s="367">
        <v>18500</v>
      </c>
      <c r="G37" s="22">
        <f t="shared" si="0"/>
        <v>936100</v>
      </c>
    </row>
    <row r="38" spans="1:7">
      <c r="A38" s="384">
        <v>1.3</v>
      </c>
      <c r="B38" s="388" t="s">
        <v>3182</v>
      </c>
      <c r="C38" s="389" t="s">
        <v>40</v>
      </c>
      <c r="D38" s="390">
        <v>110</v>
      </c>
      <c r="E38" s="366">
        <v>0.15</v>
      </c>
      <c r="F38" s="367">
        <v>3500</v>
      </c>
      <c r="G38" s="22">
        <f t="shared" si="0"/>
        <v>442749.99999999994</v>
      </c>
    </row>
    <row r="39" spans="1:7">
      <c r="A39" s="384">
        <v>1.4</v>
      </c>
      <c r="B39" s="388" t="s">
        <v>3183</v>
      </c>
      <c r="C39" s="391" t="s">
        <v>51</v>
      </c>
      <c r="D39" s="392">
        <v>8</v>
      </c>
      <c r="E39" s="394">
        <v>0.05</v>
      </c>
      <c r="F39" s="393">
        <v>4800</v>
      </c>
      <c r="G39" s="37">
        <f t="shared" si="0"/>
        <v>40320</v>
      </c>
    </row>
    <row r="40" spans="1:7">
      <c r="A40" s="384">
        <v>1.5</v>
      </c>
      <c r="B40" s="388" t="s">
        <v>3114</v>
      </c>
      <c r="C40" s="19" t="s">
        <v>2881</v>
      </c>
      <c r="D40" s="33">
        <v>1</v>
      </c>
      <c r="E40" s="34">
        <v>0</v>
      </c>
      <c r="F40" s="21">
        <v>420000</v>
      </c>
      <c r="G40" s="22">
        <f t="shared" si="0"/>
        <v>420000</v>
      </c>
    </row>
    <row r="41" spans="1:7">
      <c r="A41" s="384">
        <v>1.6</v>
      </c>
      <c r="B41" s="388" t="s">
        <v>3115</v>
      </c>
      <c r="C41" s="19" t="s">
        <v>2881</v>
      </c>
      <c r="D41" s="33">
        <v>1</v>
      </c>
      <c r="E41" s="34">
        <v>0</v>
      </c>
      <c r="F41" s="21">
        <v>680000</v>
      </c>
      <c r="G41" s="22">
        <f t="shared" si="0"/>
        <v>680000</v>
      </c>
    </row>
    <row r="42" spans="1:7" ht="22.05" customHeight="1">
      <c r="A42" s="383">
        <v>2</v>
      </c>
      <c r="B42" s="310" t="s">
        <v>2883</v>
      </c>
      <c r="C42" s="19"/>
      <c r="D42" s="33"/>
      <c r="E42" s="34"/>
      <c r="F42" s="21"/>
      <c r="G42" s="22"/>
    </row>
    <row r="43" spans="1:7">
      <c r="A43" s="384">
        <v>2.1</v>
      </c>
      <c r="B43" s="32" t="s">
        <v>3116</v>
      </c>
      <c r="C43" s="19" t="s">
        <v>95</v>
      </c>
      <c r="D43" s="33">
        <v>4</v>
      </c>
      <c r="E43" s="34">
        <v>0.52</v>
      </c>
      <c r="F43" s="21">
        <v>58364</v>
      </c>
      <c r="G43" s="22">
        <f>D43*(1+E43)*F43</f>
        <v>354853.12</v>
      </c>
    </row>
    <row r="44" spans="1:7">
      <c r="A44" s="384">
        <v>2.2000000000000002</v>
      </c>
      <c r="B44" s="32" t="s">
        <v>3117</v>
      </c>
      <c r="C44" s="19" t="s">
        <v>95</v>
      </c>
      <c r="D44" s="33">
        <v>5</v>
      </c>
      <c r="E44" s="34">
        <v>0.52</v>
      </c>
      <c r="F44" s="21">
        <v>48500</v>
      </c>
      <c r="G44" s="22">
        <f>D44*(1+E44)*F44</f>
        <v>368600</v>
      </c>
    </row>
    <row r="45" spans="1:7">
      <c r="A45" s="384">
        <v>2.2999999999999998</v>
      </c>
      <c r="B45" s="32" t="s">
        <v>3118</v>
      </c>
      <c r="C45" s="19" t="s">
        <v>95</v>
      </c>
      <c r="D45" s="33">
        <v>1</v>
      </c>
      <c r="E45" s="34">
        <v>0.52</v>
      </c>
      <c r="F45" s="21">
        <v>65000</v>
      </c>
      <c r="G45" s="22">
        <f>D45*(1+E45)*F45</f>
        <v>98800</v>
      </c>
    </row>
    <row r="46" spans="1:7">
      <c r="A46" s="383">
        <v>3</v>
      </c>
      <c r="B46" s="310" t="s">
        <v>2874</v>
      </c>
    </row>
    <row r="47" spans="1:7">
      <c r="A47" s="384">
        <v>3.1</v>
      </c>
      <c r="B47" s="32" t="s">
        <v>3119</v>
      </c>
      <c r="C47" s="19" t="s">
        <v>2881</v>
      </c>
      <c r="D47" s="33">
        <v>1</v>
      </c>
      <c r="E47" s="34">
        <v>0</v>
      </c>
      <c r="F47" s="21">
        <f>ROUND((G43+G44+G45)*0.03,0)</f>
        <v>24668</v>
      </c>
      <c r="G47" s="22">
        <f>F47</f>
        <v>24668</v>
      </c>
    </row>
    <row r="48" spans="1:7">
      <c r="B48" s="335" t="s">
        <v>3110</v>
      </c>
      <c r="G48" s="336">
        <f>SUM(G36:G47)</f>
        <v>4122091.12</v>
      </c>
    </row>
    <row r="49" spans="1:7">
      <c r="B49" s="337" t="s">
        <v>2905</v>
      </c>
      <c r="G49" s="338">
        <f>G48*0.23</f>
        <v>948080.95760000008</v>
      </c>
    </row>
    <row r="50" spans="1:7" ht="30" customHeight="1">
      <c r="B50" s="340" t="s">
        <v>3120</v>
      </c>
      <c r="G50" s="341">
        <f>G48+G49</f>
        <v>5070172.0776000004</v>
      </c>
    </row>
    <row r="52" spans="1:7">
      <c r="A52" s="322" t="s">
        <v>3121</v>
      </c>
      <c r="B52" s="322" t="s">
        <v>3122</v>
      </c>
      <c r="C52" s="324" t="s">
        <v>3105</v>
      </c>
      <c r="D52" s="325" t="s">
        <v>3123</v>
      </c>
    </row>
    <row r="53" spans="1:7">
      <c r="A53" s="323">
        <v>1</v>
      </c>
      <c r="B53" s="323" t="s">
        <v>3124</v>
      </c>
    </row>
    <row r="54" spans="1:7">
      <c r="A54" s="384">
        <v>1.1000000000000001</v>
      </c>
      <c r="B54" s="32" t="s">
        <v>3125</v>
      </c>
      <c r="C54" s="331" t="s">
        <v>3126</v>
      </c>
      <c r="D54" s="343">
        <v>2</v>
      </c>
      <c r="E54" s="332">
        <v>0</v>
      </c>
      <c r="F54" s="329">
        <v>380000</v>
      </c>
      <c r="G54" s="334">
        <f>D54*(1+E54)*F54</f>
        <v>760000</v>
      </c>
    </row>
    <row r="55" spans="1:7">
      <c r="A55" s="384">
        <v>1.2</v>
      </c>
      <c r="B55" s="32" t="s">
        <v>3127</v>
      </c>
      <c r="C55" s="344" t="s">
        <v>2881</v>
      </c>
      <c r="D55" s="345">
        <v>1</v>
      </c>
      <c r="E55" s="346">
        <v>0</v>
      </c>
      <c r="F55" s="347">
        <v>0</v>
      </c>
      <c r="G55" s="348">
        <f>D55*(1+E55)*F55</f>
        <v>0</v>
      </c>
    </row>
    <row r="56" spans="1:7">
      <c r="B56" s="335" t="s">
        <v>2904</v>
      </c>
      <c r="G56" s="336">
        <f>SUM(G54:G55)</f>
        <v>760000</v>
      </c>
    </row>
    <row r="57" spans="1:7" ht="22.05" customHeight="1">
      <c r="B57" s="337" t="s">
        <v>2905</v>
      </c>
      <c r="G57" s="338">
        <f>G56*0.23</f>
        <v>174800</v>
      </c>
    </row>
    <row r="58" spans="1:7">
      <c r="B58" s="340" t="s">
        <v>3128</v>
      </c>
      <c r="G58" s="341">
        <f>G56+G57</f>
        <v>934800</v>
      </c>
    </row>
    <row r="60" spans="1:7">
      <c r="A60" s="322" t="s">
        <v>3129</v>
      </c>
      <c r="B60" s="322" t="s">
        <v>3130</v>
      </c>
      <c r="C60" s="324" t="s">
        <v>2881</v>
      </c>
      <c r="D60" s="325" t="s">
        <v>3131</v>
      </c>
    </row>
    <row r="61" spans="1:7">
      <c r="A61" s="385">
        <v>1</v>
      </c>
      <c r="B61" s="323" t="s">
        <v>2938</v>
      </c>
    </row>
    <row r="62" spans="1:7">
      <c r="A62" s="384">
        <v>1.1000000000000001</v>
      </c>
      <c r="B62" s="32" t="s">
        <v>3132</v>
      </c>
      <c r="C62" s="326" t="s">
        <v>2881</v>
      </c>
      <c r="D62" s="342">
        <v>1</v>
      </c>
      <c r="E62" s="328">
        <v>0</v>
      </c>
      <c r="F62" s="329">
        <v>180000</v>
      </c>
      <c r="G62" s="330">
        <f>D62*(1+E62)*F62</f>
        <v>180000</v>
      </c>
    </row>
    <row r="63" spans="1:7">
      <c r="A63" s="384">
        <v>1.2</v>
      </c>
      <c r="B63" s="32" t="s">
        <v>3133</v>
      </c>
      <c r="C63" s="326" t="s">
        <v>2943</v>
      </c>
      <c r="D63" s="342">
        <v>6</v>
      </c>
      <c r="E63" s="328">
        <v>0</v>
      </c>
      <c r="F63" s="329">
        <v>85000</v>
      </c>
      <c r="G63" s="330">
        <f>D63*(1+E63)*F63</f>
        <v>510000</v>
      </c>
    </row>
    <row r="64" spans="1:7">
      <c r="A64" s="384">
        <v>1.3</v>
      </c>
      <c r="B64" s="32" t="s">
        <v>3134</v>
      </c>
      <c r="C64" s="326" t="s">
        <v>38</v>
      </c>
      <c r="D64" s="342">
        <v>30</v>
      </c>
      <c r="E64" s="328">
        <v>0.05</v>
      </c>
      <c r="F64" s="329">
        <v>12500</v>
      </c>
      <c r="G64" s="330">
        <f>D64*(1+E64)*F64</f>
        <v>393750</v>
      </c>
    </row>
    <row r="65" spans="1:7">
      <c r="A65" s="384">
        <v>1.4</v>
      </c>
      <c r="B65" s="32" t="s">
        <v>3135</v>
      </c>
      <c r="C65" s="326" t="s">
        <v>3136</v>
      </c>
      <c r="D65" s="342">
        <v>2</v>
      </c>
      <c r="E65" s="328">
        <v>0</v>
      </c>
      <c r="F65" s="329">
        <v>28000</v>
      </c>
      <c r="G65" s="330">
        <f>D65*(1+E65)*F65</f>
        <v>56000</v>
      </c>
    </row>
    <row r="66" spans="1:7">
      <c r="A66" s="386">
        <v>2</v>
      </c>
      <c r="B66" s="382" t="s">
        <v>2883</v>
      </c>
    </row>
    <row r="67" spans="1:7">
      <c r="A67" s="384">
        <v>2.1</v>
      </c>
      <c r="B67" s="32" t="s">
        <v>3137</v>
      </c>
      <c r="C67" s="331" t="s">
        <v>95</v>
      </c>
      <c r="D67" s="343">
        <v>2</v>
      </c>
      <c r="E67" s="332">
        <v>0.52</v>
      </c>
      <c r="F67" s="333">
        <v>58364</v>
      </c>
      <c r="G67" s="334">
        <f>D67*(1+E67)*F67</f>
        <v>177426.56</v>
      </c>
    </row>
    <row r="68" spans="1:7">
      <c r="A68" s="384">
        <v>2.2000000000000002</v>
      </c>
      <c r="B68" s="32" t="s">
        <v>3138</v>
      </c>
      <c r="C68" s="331" t="s">
        <v>95</v>
      </c>
      <c r="D68" s="343">
        <v>1</v>
      </c>
      <c r="E68" s="332">
        <v>0.52</v>
      </c>
      <c r="F68" s="333">
        <v>65000</v>
      </c>
      <c r="G68" s="334">
        <f>D68*(1+E68)*F68</f>
        <v>98800</v>
      </c>
    </row>
    <row r="69" spans="1:7">
      <c r="B69" s="335" t="s">
        <v>2904</v>
      </c>
      <c r="G69" s="336">
        <f>SUM(G62:G68)</f>
        <v>1415976.56</v>
      </c>
    </row>
    <row r="70" spans="1:7">
      <c r="B70" s="337" t="s">
        <v>2905</v>
      </c>
      <c r="G70" s="338">
        <f>G69*0.23</f>
        <v>325674.60880000005</v>
      </c>
    </row>
    <row r="71" spans="1:7">
      <c r="B71" s="340" t="s">
        <v>3139</v>
      </c>
      <c r="G71" s="341">
        <f>G69+G70</f>
        <v>1741651.1688000001</v>
      </c>
    </row>
    <row r="73" spans="1:7" ht="15.6">
      <c r="A73" s="311" t="s">
        <v>3140</v>
      </c>
      <c r="B73" s="349"/>
      <c r="C73" s="321" t="s">
        <v>2865</v>
      </c>
      <c r="D73" s="321" t="s">
        <v>2922</v>
      </c>
      <c r="E73" s="321" t="s">
        <v>2923</v>
      </c>
      <c r="F73" s="349"/>
      <c r="G73" s="321" t="s">
        <v>2924</v>
      </c>
    </row>
    <row r="74" spans="1:7">
      <c r="A74" s="323" t="s">
        <v>3108</v>
      </c>
      <c r="B74" s="314" t="s">
        <v>3141</v>
      </c>
      <c r="C74" s="315" t="s">
        <v>38</v>
      </c>
      <c r="D74" s="350">
        <v>250</v>
      </c>
      <c r="E74" s="351">
        <f>G22</f>
        <v>30824.122555199996</v>
      </c>
      <c r="G74" s="351">
        <f>D74*E74</f>
        <v>7706030.6387999989</v>
      </c>
    </row>
    <row r="75" spans="1:7">
      <c r="A75" s="323" t="s">
        <v>3112</v>
      </c>
      <c r="B75" s="395" t="s">
        <v>3184</v>
      </c>
      <c r="C75" s="315" t="s">
        <v>2881</v>
      </c>
      <c r="D75" s="350">
        <v>1</v>
      </c>
      <c r="E75" s="351">
        <f>G50</f>
        <v>5070172.0776000004</v>
      </c>
      <c r="G75" s="351">
        <f>D75*E75</f>
        <v>5070172.0776000004</v>
      </c>
    </row>
    <row r="76" spans="1:7">
      <c r="A76" s="323" t="s">
        <v>3121</v>
      </c>
      <c r="B76" s="314" t="s">
        <v>3142</v>
      </c>
      <c r="C76" s="315" t="s">
        <v>3105</v>
      </c>
      <c r="D76" s="350">
        <v>2</v>
      </c>
      <c r="E76" s="351">
        <f>G58/2</f>
        <v>467400</v>
      </c>
      <c r="G76" s="351">
        <f>G58</f>
        <v>934800</v>
      </c>
    </row>
    <row r="77" spans="1:7">
      <c r="A77" s="323" t="s">
        <v>3129</v>
      </c>
      <c r="B77" s="314" t="s">
        <v>3143</v>
      </c>
      <c r="C77" s="315" t="s">
        <v>2881</v>
      </c>
      <c r="D77" s="350">
        <v>1</v>
      </c>
      <c r="E77" s="351">
        <f>G71</f>
        <v>1741651.1688000001</v>
      </c>
      <c r="G77" s="351">
        <f>D77*E77</f>
        <v>1741651.1688000001</v>
      </c>
    </row>
    <row r="78" spans="1:7">
      <c r="A78" s="323" t="s">
        <v>3144</v>
      </c>
      <c r="B78" s="314" t="s">
        <v>3145</v>
      </c>
      <c r="C78" s="315" t="s">
        <v>2881</v>
      </c>
      <c r="D78" s="350">
        <v>1</v>
      </c>
      <c r="E78" s="330">
        <v>2680000</v>
      </c>
      <c r="G78" s="351">
        <f>D78*E78</f>
        <v>2680000</v>
      </c>
    </row>
    <row r="79" spans="1:7">
      <c r="A79" s="323" t="s">
        <v>3146</v>
      </c>
      <c r="B79" s="314" t="s">
        <v>3147</v>
      </c>
      <c r="C79" s="315" t="s">
        <v>2881</v>
      </c>
      <c r="D79" s="350">
        <v>1</v>
      </c>
      <c r="E79" s="330">
        <v>50520000</v>
      </c>
      <c r="G79" s="351">
        <f>D79*E79</f>
        <v>50520000</v>
      </c>
    </row>
    <row r="80" spans="1:7">
      <c r="A80" s="323" t="s">
        <v>3148</v>
      </c>
      <c r="B80" s="314" t="s">
        <v>3149</v>
      </c>
      <c r="C80" s="315" t="s">
        <v>2881</v>
      </c>
      <c r="D80" s="350">
        <v>1</v>
      </c>
      <c r="E80" s="330">
        <v>1843160</v>
      </c>
      <c r="G80" s="351">
        <f>D80*E80</f>
        <v>1843160</v>
      </c>
    </row>
    <row r="81" spans="1:7">
      <c r="A81" s="323" t="s">
        <v>3150</v>
      </c>
      <c r="B81" s="314" t="s">
        <v>3151</v>
      </c>
      <c r="C81" s="315" t="s">
        <v>2881</v>
      </c>
      <c r="D81" s="350">
        <v>1</v>
      </c>
      <c r="E81" s="330">
        <v>44992000</v>
      </c>
      <c r="G81" s="351">
        <f>D81*E81</f>
        <v>44992000</v>
      </c>
    </row>
    <row r="83" spans="1:7">
      <c r="A83" s="352" t="s">
        <v>3152</v>
      </c>
      <c r="B83" s="312"/>
      <c r="C83" s="312"/>
      <c r="D83" s="312"/>
      <c r="E83" s="312"/>
      <c r="F83" s="312"/>
      <c r="G83" s="353">
        <f>G74+G75+G76+G77+G78+G79+G80+G81</f>
        <v>115487813.88519999</v>
      </c>
    </row>
    <row r="84" spans="1:7">
      <c r="A84" s="339" t="s">
        <v>3153</v>
      </c>
      <c r="G84" s="338">
        <f>G83*0.23</f>
        <v>26562197.193595998</v>
      </c>
    </row>
    <row r="85" spans="1:7" ht="16.2" thickBot="1">
      <c r="A85" s="354" t="s">
        <v>3154</v>
      </c>
      <c r="B85" s="313"/>
      <c r="C85" s="313"/>
      <c r="D85" s="313"/>
      <c r="E85" s="313"/>
      <c r="F85" s="313"/>
      <c r="G85" s="355">
        <f>G83+G84</f>
        <v>142050011.078796</v>
      </c>
    </row>
    <row r="86" spans="1:7" ht="15" thickTop="1"/>
    <row r="88" spans="1:7">
      <c r="B88" s="362" t="s">
        <v>3163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1BAC3-BFE4-459A-9373-9A61065F1C3F}">
  <dimension ref="A1:H51"/>
  <sheetViews>
    <sheetView workbookViewId="0">
      <pane ySplit="6" topLeftCell="A7" activePane="bottomLeft" state="frozen"/>
      <selection pane="bottomLeft" activeCell="A24" sqref="A24:G33"/>
    </sheetView>
  </sheetViews>
  <sheetFormatPr baseColWidth="10" defaultRowHeight="14.4"/>
  <cols>
    <col min="1" max="1" width="15.77734375" customWidth="1"/>
    <col min="2" max="2" width="43.33203125" customWidth="1"/>
    <col min="3" max="3" width="10.21875" customWidth="1"/>
    <col min="4" max="4" width="12" customWidth="1"/>
    <col min="5" max="5" width="13.88671875" customWidth="1"/>
    <col min="6" max="7" width="18.5546875" customWidth="1"/>
    <col min="8" max="8" width="40.77734375" customWidth="1"/>
  </cols>
  <sheetData>
    <row r="1" spans="1:8" ht="17.399999999999999">
      <c r="A1" s="189" t="s">
        <v>2859</v>
      </c>
    </row>
    <row r="2" spans="1:8">
      <c r="A2" s="190" t="s">
        <v>2860</v>
      </c>
    </row>
    <row r="3" spans="1:8">
      <c r="A3" s="192" t="s">
        <v>2861</v>
      </c>
    </row>
    <row r="4" spans="1:8">
      <c r="A4" s="192" t="s">
        <v>2862</v>
      </c>
    </row>
    <row r="6" spans="1:8">
      <c r="A6" s="194" t="s">
        <v>2863</v>
      </c>
      <c r="B6" s="193" t="s">
        <v>2864</v>
      </c>
      <c r="C6" s="194" t="s">
        <v>2865</v>
      </c>
      <c r="D6" s="194" t="s">
        <v>2866</v>
      </c>
      <c r="E6" s="194" t="s">
        <v>2867</v>
      </c>
      <c r="F6" s="194" t="s">
        <v>2868</v>
      </c>
      <c r="G6" s="194" t="s">
        <v>2869</v>
      </c>
      <c r="H6" s="194" t="s">
        <v>2870</v>
      </c>
    </row>
    <row r="8" spans="1:8">
      <c r="A8" s="195" t="s">
        <v>2871</v>
      </c>
      <c r="B8" s="195" t="s">
        <v>2872</v>
      </c>
      <c r="C8" s="197" t="s">
        <v>40</v>
      </c>
      <c r="D8" s="198" t="s">
        <v>2873</v>
      </c>
    </row>
    <row r="9" spans="1:8">
      <c r="A9" s="199">
        <v>1</v>
      </c>
      <c r="B9" s="199" t="s">
        <v>2874</v>
      </c>
    </row>
    <row r="10" spans="1:8">
      <c r="A10" s="200">
        <v>1.1000000000000001</v>
      </c>
      <c r="B10" s="200" t="s">
        <v>2875</v>
      </c>
      <c r="C10" s="201" t="s">
        <v>98</v>
      </c>
      <c r="D10" s="202">
        <v>1.2500000000000001E-2</v>
      </c>
      <c r="E10" s="203">
        <v>0</v>
      </c>
      <c r="F10" s="204">
        <v>185000</v>
      </c>
      <c r="G10" s="204">
        <f>D10*(1+E10)*F10</f>
        <v>2312.5</v>
      </c>
      <c r="H10" s="205" t="s">
        <v>2876</v>
      </c>
    </row>
    <row r="11" spans="1:8">
      <c r="A11" s="200">
        <v>1.2</v>
      </c>
      <c r="B11" s="200" t="s">
        <v>2877</v>
      </c>
      <c r="C11" s="201" t="s">
        <v>2878</v>
      </c>
      <c r="D11" s="202">
        <v>0.04</v>
      </c>
      <c r="E11" s="203">
        <v>0</v>
      </c>
      <c r="F11" s="204">
        <v>120000</v>
      </c>
      <c r="G11" s="204">
        <f>D11*(1+E11)*F11</f>
        <v>4800</v>
      </c>
      <c r="H11" s="205" t="s">
        <v>2879</v>
      </c>
    </row>
    <row r="12" spans="1:8">
      <c r="A12" s="200">
        <v>1.3</v>
      </c>
      <c r="B12" s="200" t="s">
        <v>2880</v>
      </c>
      <c r="C12" s="201" t="s">
        <v>2881</v>
      </c>
      <c r="D12" s="200">
        <v>1</v>
      </c>
      <c r="E12" s="203">
        <v>0</v>
      </c>
      <c r="F12" s="204">
        <v>1500</v>
      </c>
      <c r="G12" s="204">
        <f>D12*(1+E12)*F12</f>
        <v>1500</v>
      </c>
      <c r="H12" s="205" t="s">
        <v>2882</v>
      </c>
    </row>
    <row r="13" spans="1:8">
      <c r="A13" s="199">
        <v>2</v>
      </c>
      <c r="B13" s="199" t="s">
        <v>2883</v>
      </c>
    </row>
    <row r="14" spans="1:8">
      <c r="A14" s="207">
        <v>2.1</v>
      </c>
      <c r="B14" s="207" t="s">
        <v>2884</v>
      </c>
      <c r="C14" s="208" t="s">
        <v>95</v>
      </c>
      <c r="D14" s="209">
        <v>2.5000000000000001E-2</v>
      </c>
      <c r="E14" s="210">
        <v>0.52</v>
      </c>
      <c r="F14" s="211">
        <v>58364</v>
      </c>
      <c r="G14" s="211">
        <f>D14*(1+E14)*F14</f>
        <v>2217.8320000000003</v>
      </c>
      <c r="H14" s="205" t="s">
        <v>2885</v>
      </c>
    </row>
    <row r="15" spans="1:8">
      <c r="A15" s="207">
        <v>2.2000000000000002</v>
      </c>
      <c r="B15" s="207" t="s">
        <v>2886</v>
      </c>
      <c r="C15" s="208" t="s">
        <v>95</v>
      </c>
      <c r="D15" s="209">
        <v>0.05</v>
      </c>
      <c r="E15" s="210">
        <v>0.52</v>
      </c>
      <c r="F15" s="211">
        <v>48500</v>
      </c>
      <c r="G15" s="211">
        <f>D15*(1+E15)*F15</f>
        <v>3686.0000000000005</v>
      </c>
      <c r="H15" s="205" t="s">
        <v>2887</v>
      </c>
    </row>
    <row r="16" spans="1:8">
      <c r="A16" s="207">
        <v>2.2999999999999998</v>
      </c>
      <c r="B16" s="207" t="s">
        <v>2888</v>
      </c>
      <c r="C16" s="208" t="s">
        <v>95</v>
      </c>
      <c r="D16" s="209">
        <v>0.01</v>
      </c>
      <c r="E16" s="210">
        <v>0.52</v>
      </c>
      <c r="F16" s="211">
        <v>95000</v>
      </c>
      <c r="G16" s="211">
        <f>D16*(1+E16)*F16</f>
        <v>1444</v>
      </c>
      <c r="H16" s="205" t="s">
        <v>2889</v>
      </c>
    </row>
    <row r="17" spans="1:8">
      <c r="A17" s="212"/>
    </row>
    <row r="18" spans="1:8">
      <c r="A18" s="213" t="s">
        <v>2890</v>
      </c>
      <c r="B18" s="214"/>
      <c r="C18" s="214"/>
      <c r="D18" s="214"/>
      <c r="E18" s="214"/>
      <c r="F18" s="214"/>
      <c r="G18" s="215">
        <f>SUM(G10:G16)</f>
        <v>15960.332</v>
      </c>
    </row>
    <row r="19" spans="1:8">
      <c r="A19" s="216" t="s">
        <v>2891</v>
      </c>
      <c r="G19" s="217">
        <f>G18*0.23</f>
        <v>3670.8763600000002</v>
      </c>
    </row>
    <row r="20" spans="1:8">
      <c r="A20" s="196" t="s">
        <v>2892</v>
      </c>
      <c r="G20" s="218">
        <f>G18+G19</f>
        <v>19631.208360000001</v>
      </c>
    </row>
    <row r="22" spans="1:8">
      <c r="A22" s="219" t="s">
        <v>2893</v>
      </c>
      <c r="B22" s="219" t="s">
        <v>2894</v>
      </c>
      <c r="C22" s="221" t="s">
        <v>44</v>
      </c>
      <c r="D22" s="222" t="s">
        <v>2895</v>
      </c>
    </row>
    <row r="23" spans="1:8">
      <c r="A23" s="199">
        <v>1</v>
      </c>
      <c r="B23" s="199" t="s">
        <v>2896</v>
      </c>
    </row>
    <row r="24" spans="1:8" ht="26.4" customHeight="1">
      <c r="A24" s="200">
        <v>1.1000000000000001</v>
      </c>
      <c r="B24" s="306" t="s">
        <v>2897</v>
      </c>
      <c r="C24" s="201" t="s">
        <v>98</v>
      </c>
      <c r="D24" s="202">
        <v>1.67E-2</v>
      </c>
      <c r="E24" s="203">
        <v>0</v>
      </c>
      <c r="F24" s="204">
        <v>185000</v>
      </c>
      <c r="G24" s="204">
        <f>D24*(1+E24)*F24</f>
        <v>3089.5</v>
      </c>
      <c r="H24" s="205" t="s">
        <v>2898</v>
      </c>
    </row>
    <row r="25" spans="1:8" ht="26.4" customHeight="1">
      <c r="A25" s="200">
        <v>1.2</v>
      </c>
      <c r="B25" s="306" t="s">
        <v>2899</v>
      </c>
      <c r="C25" s="201" t="s">
        <v>2878</v>
      </c>
      <c r="D25" s="202">
        <v>0.14499999999999999</v>
      </c>
      <c r="E25" s="203">
        <v>0</v>
      </c>
      <c r="F25" s="204">
        <v>120000</v>
      </c>
      <c r="G25" s="204">
        <f>D25*(1+E25)*F25</f>
        <v>17400</v>
      </c>
      <c r="H25" s="205" t="s">
        <v>2879</v>
      </c>
    </row>
    <row r="26" spans="1:8" ht="26.4" customHeight="1">
      <c r="A26" s="200">
        <v>1.3</v>
      </c>
      <c r="B26" s="306" t="s">
        <v>2900</v>
      </c>
      <c r="C26" s="201" t="s">
        <v>2881</v>
      </c>
      <c r="D26" s="200">
        <v>1</v>
      </c>
      <c r="E26" s="203">
        <v>0</v>
      </c>
      <c r="F26" s="204">
        <v>800</v>
      </c>
      <c r="G26" s="204">
        <f>D26*(1+E26)*F26</f>
        <v>800</v>
      </c>
      <c r="H26" s="205" t="s">
        <v>2901</v>
      </c>
    </row>
    <row r="27" spans="1:8" ht="26.4" customHeight="1">
      <c r="A27" s="199">
        <v>2</v>
      </c>
      <c r="B27" s="308" t="s">
        <v>2883</v>
      </c>
    </row>
    <row r="28" spans="1:8" ht="26.4" customHeight="1">
      <c r="A28" s="207">
        <v>2.1</v>
      </c>
      <c r="B28" s="307" t="s">
        <v>2902</v>
      </c>
      <c r="C28" s="208" t="s">
        <v>95</v>
      </c>
      <c r="D28" s="209">
        <v>1.67E-2</v>
      </c>
      <c r="E28" s="210">
        <v>0.52</v>
      </c>
      <c r="F28" s="211">
        <v>58364</v>
      </c>
      <c r="G28" s="211">
        <f>D28*(1+E28)*F28</f>
        <v>1481.5117760000001</v>
      </c>
      <c r="H28" s="205" t="s">
        <v>2885</v>
      </c>
    </row>
    <row r="29" spans="1:8" ht="26.4" customHeight="1">
      <c r="A29" s="207">
        <v>2.2000000000000002</v>
      </c>
      <c r="B29" s="307" t="s">
        <v>2903</v>
      </c>
      <c r="C29" s="208" t="s">
        <v>95</v>
      </c>
      <c r="D29" s="209">
        <v>5.0000000000000001E-3</v>
      </c>
      <c r="E29" s="210">
        <v>0.52</v>
      </c>
      <c r="F29" s="211">
        <v>95000</v>
      </c>
      <c r="G29" s="211">
        <f>D29*(1+E29)*F29</f>
        <v>722</v>
      </c>
      <c r="H29" s="205" t="s">
        <v>2889</v>
      </c>
    </row>
    <row r="30" spans="1:8">
      <c r="A30" s="213" t="s">
        <v>2904</v>
      </c>
      <c r="G30" s="215">
        <f>SUM(G24:G29)</f>
        <v>23493.011775999999</v>
      </c>
    </row>
    <row r="31" spans="1:8">
      <c r="A31" s="216" t="s">
        <v>2905</v>
      </c>
      <c r="G31" s="217">
        <f>G30*0.23</f>
        <v>5403.3927084799998</v>
      </c>
    </row>
    <row r="32" spans="1:8">
      <c r="A32" s="220" t="s">
        <v>2906</v>
      </c>
      <c r="G32" s="223">
        <f>G30+G31</f>
        <v>28896.404484480001</v>
      </c>
    </row>
    <row r="34" spans="1:8">
      <c r="A34" s="224" t="s">
        <v>2907</v>
      </c>
      <c r="B34" s="224" t="s">
        <v>2908</v>
      </c>
      <c r="C34" s="226" t="s">
        <v>2909</v>
      </c>
      <c r="D34" s="227" t="s">
        <v>2910</v>
      </c>
    </row>
    <row r="35" spans="1:8">
      <c r="A35" s="199">
        <v>1</v>
      </c>
      <c r="B35" s="199" t="s">
        <v>2911</v>
      </c>
    </row>
    <row r="36" spans="1:8">
      <c r="A36" s="200">
        <v>1.1000000000000001</v>
      </c>
      <c r="B36" s="200" t="s">
        <v>2912</v>
      </c>
      <c r="C36" s="201" t="s">
        <v>98</v>
      </c>
      <c r="D36" s="228">
        <v>0.33300000000000002</v>
      </c>
      <c r="E36" s="203">
        <v>0</v>
      </c>
      <c r="F36" s="204">
        <v>320000</v>
      </c>
      <c r="G36" s="204">
        <f>D36*(1+E36)*F36</f>
        <v>106560</v>
      </c>
      <c r="H36" s="205" t="s">
        <v>2913</v>
      </c>
    </row>
    <row r="37" spans="1:8">
      <c r="A37" s="200">
        <v>1.2</v>
      </c>
      <c r="B37" s="200" t="s">
        <v>2914</v>
      </c>
      <c r="C37" s="201" t="s">
        <v>2878</v>
      </c>
      <c r="D37" s="228">
        <v>1.6E-2</v>
      </c>
      <c r="E37" s="203">
        <v>0</v>
      </c>
      <c r="F37" s="204">
        <v>120000</v>
      </c>
      <c r="G37" s="204">
        <f>D37*(1+E37)*F37</f>
        <v>1920</v>
      </c>
      <c r="H37" s="205" t="s">
        <v>2879</v>
      </c>
    </row>
    <row r="38" spans="1:8">
      <c r="A38" s="200">
        <v>1.3</v>
      </c>
      <c r="B38" s="200" t="s">
        <v>2915</v>
      </c>
      <c r="C38" s="201" t="s">
        <v>51</v>
      </c>
      <c r="D38" s="200">
        <v>1.5</v>
      </c>
      <c r="E38" s="203">
        <v>0.05</v>
      </c>
      <c r="F38" s="204">
        <v>2800</v>
      </c>
      <c r="G38" s="204">
        <f>D38*(1+E38)*F38</f>
        <v>4410.0000000000009</v>
      </c>
      <c r="H38" s="205" t="s">
        <v>2916</v>
      </c>
    </row>
    <row r="39" spans="1:8">
      <c r="A39" s="199">
        <v>2</v>
      </c>
      <c r="B39" s="199" t="s">
        <v>2883</v>
      </c>
    </row>
    <row r="40" spans="1:8">
      <c r="A40" s="207">
        <v>2.1</v>
      </c>
      <c r="B40" s="207" t="s">
        <v>2917</v>
      </c>
      <c r="C40" s="208" t="s">
        <v>95</v>
      </c>
      <c r="D40" s="229">
        <v>4.2000000000000003E-2</v>
      </c>
      <c r="E40" s="210">
        <v>0.52</v>
      </c>
      <c r="F40" s="211">
        <v>80000</v>
      </c>
      <c r="G40" s="211">
        <f>D40*(1+E40)*F40</f>
        <v>5107.2000000000007</v>
      </c>
      <c r="H40" s="205" t="s">
        <v>2918</v>
      </c>
    </row>
    <row r="41" spans="1:8">
      <c r="A41" s="207">
        <v>2.2000000000000002</v>
      </c>
      <c r="B41" s="207" t="s">
        <v>2919</v>
      </c>
      <c r="C41" s="208" t="s">
        <v>95</v>
      </c>
      <c r="D41" s="229">
        <v>8.3000000000000004E-2</v>
      </c>
      <c r="E41" s="210">
        <v>0.52</v>
      </c>
      <c r="F41" s="211">
        <v>48500</v>
      </c>
      <c r="G41" s="211">
        <f>D41*(1+E41)*F41</f>
        <v>6118.7599999999993</v>
      </c>
      <c r="H41" s="205" t="s">
        <v>2885</v>
      </c>
    </row>
    <row r="42" spans="1:8">
      <c r="A42" s="213" t="s">
        <v>2904</v>
      </c>
      <c r="G42" s="215">
        <f>SUM(G36:G41)</f>
        <v>124115.95999999999</v>
      </c>
    </row>
    <row r="43" spans="1:8">
      <c r="A43" s="216" t="s">
        <v>2905</v>
      </c>
      <c r="G43" s="217">
        <f>G42*0.23</f>
        <v>28546.6708</v>
      </c>
    </row>
    <row r="44" spans="1:8">
      <c r="A44" s="225" t="s">
        <v>2920</v>
      </c>
      <c r="G44" s="230">
        <f>G42+G43</f>
        <v>152662.63079999998</v>
      </c>
    </row>
    <row r="46" spans="1:8">
      <c r="A46" s="231" t="s">
        <v>2921</v>
      </c>
      <c r="B46" s="232"/>
      <c r="C46" s="233" t="s">
        <v>2865</v>
      </c>
      <c r="D46" s="233" t="s">
        <v>2922</v>
      </c>
      <c r="E46" s="233" t="s">
        <v>2923</v>
      </c>
      <c r="F46" s="233" t="s">
        <v>2924</v>
      </c>
    </row>
    <row r="47" spans="1:8">
      <c r="A47" s="200" t="s">
        <v>2871</v>
      </c>
      <c r="B47" t="s">
        <v>2925</v>
      </c>
      <c r="C47" s="234" t="s">
        <v>40</v>
      </c>
      <c r="D47" s="235">
        <v>2200</v>
      </c>
      <c r="E47" s="206">
        <f>G20</f>
        <v>19631.208360000001</v>
      </c>
      <c r="F47" s="236">
        <f>D47*E47</f>
        <v>43188658.392000005</v>
      </c>
    </row>
    <row r="48" spans="1:8">
      <c r="A48" s="200" t="s">
        <v>2893</v>
      </c>
      <c r="B48" t="s">
        <v>2926</v>
      </c>
      <c r="C48" s="234" t="s">
        <v>44</v>
      </c>
      <c r="D48" s="235">
        <v>1650</v>
      </c>
      <c r="E48" s="206">
        <f>G32</f>
        <v>28896.404484480001</v>
      </c>
      <c r="F48" s="236">
        <f>D48*E48</f>
        <v>47679067.399392001</v>
      </c>
    </row>
    <row r="49" spans="1:6">
      <c r="A49" s="200" t="s">
        <v>2927</v>
      </c>
      <c r="B49" t="s">
        <v>2928</v>
      </c>
      <c r="C49" s="234" t="s">
        <v>2881</v>
      </c>
      <c r="D49" s="235">
        <v>1</v>
      </c>
      <c r="E49" s="206">
        <v>0</v>
      </c>
      <c r="F49" s="237">
        <v>0</v>
      </c>
    </row>
    <row r="50" spans="1:6">
      <c r="A50" s="200" t="s">
        <v>2907</v>
      </c>
      <c r="B50" t="s">
        <v>2929</v>
      </c>
      <c r="C50" s="234" t="s">
        <v>38</v>
      </c>
      <c r="D50" s="235">
        <v>1764</v>
      </c>
      <c r="E50" s="206">
        <f>G44</f>
        <v>152662.63079999998</v>
      </c>
      <c r="F50" s="236">
        <f>D50*E50</f>
        <v>269296880.73119998</v>
      </c>
    </row>
    <row r="51" spans="1:6" ht="15.6">
      <c r="A51" s="238" t="s">
        <v>2930</v>
      </c>
      <c r="B51" s="239"/>
      <c r="C51" s="239"/>
      <c r="D51" s="239"/>
      <c r="E51" s="239"/>
      <c r="F51" s="240">
        <f>F47+F48+F49+F50</f>
        <v>360164606.52259195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8FCB3-A915-416A-A130-9F1F1960EB38}">
  <dimension ref="A1:H47"/>
  <sheetViews>
    <sheetView workbookViewId="0">
      <pane ySplit="6" topLeftCell="A7" activePane="bottomLeft" state="frozen"/>
      <selection pane="bottomLeft" activeCell="A5" sqref="A5"/>
    </sheetView>
  </sheetViews>
  <sheetFormatPr baseColWidth="10" defaultRowHeight="14.4"/>
  <cols>
    <col min="1" max="1" width="15.77734375" customWidth="1"/>
    <col min="2" max="2" width="77.77734375" customWidth="1"/>
    <col min="3" max="3" width="10.21875" customWidth="1"/>
    <col min="4" max="4" width="12" customWidth="1"/>
    <col min="5" max="5" width="13.88671875" customWidth="1"/>
    <col min="6" max="7" width="18.5546875" customWidth="1"/>
    <col min="8" max="8" width="40.77734375" customWidth="1"/>
  </cols>
  <sheetData>
    <row r="1" spans="1:8" ht="52.2" customHeight="1">
      <c r="A1" s="263" t="s">
        <v>2931</v>
      </c>
    </row>
    <row r="2" spans="1:8">
      <c r="A2" s="190" t="s">
        <v>2932</v>
      </c>
    </row>
    <row r="3" spans="1:8">
      <c r="A3" s="192" t="s">
        <v>2933</v>
      </c>
    </row>
    <row r="5" spans="1:8">
      <c r="A5" s="242" t="s">
        <v>2863</v>
      </c>
      <c r="B5" s="241" t="s">
        <v>2864</v>
      </c>
      <c r="C5" s="242" t="s">
        <v>2865</v>
      </c>
      <c r="D5" s="242" t="s">
        <v>2866</v>
      </c>
      <c r="E5" s="242" t="s">
        <v>2867</v>
      </c>
      <c r="F5" s="242" t="s">
        <v>2868</v>
      </c>
      <c r="G5" s="242" t="s">
        <v>2869</v>
      </c>
      <c r="H5" s="242" t="s">
        <v>2870</v>
      </c>
    </row>
    <row r="7" spans="1:8">
      <c r="A7" s="243" t="s">
        <v>2934</v>
      </c>
      <c r="B7" s="243" t="s">
        <v>2935</v>
      </c>
      <c r="C7" s="245" t="s">
        <v>2881</v>
      </c>
      <c r="D7" s="246" t="s">
        <v>2936</v>
      </c>
    </row>
    <row r="8" spans="1:8">
      <c r="A8" s="199" t="s">
        <v>2937</v>
      </c>
      <c r="B8" s="199" t="s">
        <v>2938</v>
      </c>
    </row>
    <row r="9" spans="1:8">
      <c r="A9" s="200" t="s">
        <v>2939</v>
      </c>
      <c r="B9" s="200" t="s">
        <v>2940</v>
      </c>
      <c r="C9" s="201" t="s">
        <v>38</v>
      </c>
      <c r="D9" s="200">
        <v>25</v>
      </c>
      <c r="E9" s="203">
        <v>0.05</v>
      </c>
      <c r="F9" s="204">
        <v>8500</v>
      </c>
      <c r="G9" s="204">
        <f>D9*(1+E9)*F9</f>
        <v>223125</v>
      </c>
      <c r="H9" s="205" t="s">
        <v>2879</v>
      </c>
    </row>
    <row r="10" spans="1:8">
      <c r="A10" s="200" t="s">
        <v>2941</v>
      </c>
      <c r="B10" s="200" t="s">
        <v>2942</v>
      </c>
      <c r="C10" s="201" t="s">
        <v>2943</v>
      </c>
      <c r="D10" s="200">
        <v>1</v>
      </c>
      <c r="E10" s="203">
        <v>0</v>
      </c>
      <c r="F10" s="204">
        <v>380000</v>
      </c>
      <c r="G10" s="204">
        <f>D10*(1+E10)*F10</f>
        <v>380000</v>
      </c>
      <c r="H10" s="205" t="s">
        <v>2944</v>
      </c>
    </row>
    <row r="11" spans="1:8">
      <c r="A11" s="200" t="s">
        <v>2945</v>
      </c>
      <c r="B11" s="200" t="s">
        <v>2946</v>
      </c>
      <c r="C11" s="201" t="s">
        <v>2943</v>
      </c>
      <c r="D11" s="200">
        <v>1</v>
      </c>
      <c r="E11" s="203">
        <v>0</v>
      </c>
      <c r="F11" s="204">
        <v>85000</v>
      </c>
      <c r="G11" s="204">
        <f>D11*(1+E11)*F11</f>
        <v>85000</v>
      </c>
      <c r="H11" s="205" t="s">
        <v>2944</v>
      </c>
    </row>
    <row r="12" spans="1:8">
      <c r="A12" s="200" t="s">
        <v>2947</v>
      </c>
      <c r="B12" s="200" t="s">
        <v>2948</v>
      </c>
      <c r="C12" s="201" t="s">
        <v>2881</v>
      </c>
      <c r="D12" s="200">
        <v>1</v>
      </c>
      <c r="E12" s="203">
        <v>0.1</v>
      </c>
      <c r="F12" s="204">
        <v>95000</v>
      </c>
      <c r="G12" s="204">
        <f>D12*(1+E12)*F12</f>
        <v>104500.00000000001</v>
      </c>
      <c r="H12" s="205" t="s">
        <v>2949</v>
      </c>
    </row>
    <row r="13" spans="1:8">
      <c r="A13" s="199" t="s">
        <v>2950</v>
      </c>
      <c r="B13" s="199" t="s">
        <v>2883</v>
      </c>
    </row>
    <row r="14" spans="1:8">
      <c r="A14" s="207" t="s">
        <v>2951</v>
      </c>
      <c r="B14" s="207" t="s">
        <v>2952</v>
      </c>
      <c r="C14" s="208" t="s">
        <v>95</v>
      </c>
      <c r="D14" s="207">
        <v>3</v>
      </c>
      <c r="E14" s="210">
        <v>0.52</v>
      </c>
      <c r="F14" s="211">
        <v>65000</v>
      </c>
      <c r="G14" s="211">
        <f>D14*(1+E14)*F14</f>
        <v>296400.00000000006</v>
      </c>
      <c r="H14" s="205" t="s">
        <v>2885</v>
      </c>
    </row>
    <row r="15" spans="1:8">
      <c r="A15" s="207" t="s">
        <v>2953</v>
      </c>
      <c r="B15" s="207" t="s">
        <v>2954</v>
      </c>
      <c r="C15" s="208" t="s">
        <v>95</v>
      </c>
      <c r="D15" s="207">
        <v>3</v>
      </c>
      <c r="E15" s="210">
        <v>0.52</v>
      </c>
      <c r="F15" s="211">
        <v>48500</v>
      </c>
      <c r="G15" s="211">
        <f>D15*(1+E15)*F15</f>
        <v>221160.00000000003</v>
      </c>
      <c r="H15" s="205" t="s">
        <v>2885</v>
      </c>
    </row>
    <row r="16" spans="1:8">
      <c r="A16" s="213" t="s">
        <v>2955</v>
      </c>
      <c r="G16" s="215">
        <f>SUM(G9:G15)</f>
        <v>1310185</v>
      </c>
    </row>
    <row r="17" spans="1:8">
      <c r="A17" s="216" t="s">
        <v>2905</v>
      </c>
      <c r="G17" s="217">
        <f>G16*0.23</f>
        <v>301342.55</v>
      </c>
    </row>
    <row r="18" spans="1:8">
      <c r="A18" s="244" t="s">
        <v>2956</v>
      </c>
      <c r="G18" s="247">
        <f>G16+G17</f>
        <v>1611527.55</v>
      </c>
    </row>
    <row r="20" spans="1:8">
      <c r="A20" s="219" t="s">
        <v>2957</v>
      </c>
      <c r="B20" s="219" t="s">
        <v>2958</v>
      </c>
      <c r="C20" s="221" t="s">
        <v>2881</v>
      </c>
      <c r="D20" s="222" t="s">
        <v>2959</v>
      </c>
    </row>
    <row r="21" spans="1:8">
      <c r="A21" s="199" t="s">
        <v>2937</v>
      </c>
      <c r="B21" s="199" t="s">
        <v>2938</v>
      </c>
    </row>
    <row r="22" spans="1:8">
      <c r="A22" s="200" t="s">
        <v>2939</v>
      </c>
      <c r="B22" s="200" t="s">
        <v>2960</v>
      </c>
      <c r="C22" s="201" t="s">
        <v>2943</v>
      </c>
      <c r="D22" s="200">
        <v>1</v>
      </c>
      <c r="E22" s="203">
        <v>0</v>
      </c>
      <c r="F22" s="204">
        <v>450000</v>
      </c>
      <c r="G22" s="204">
        <f>D22*(1+E22)*F22</f>
        <v>450000</v>
      </c>
      <c r="H22" s="205" t="s">
        <v>2944</v>
      </c>
    </row>
    <row r="23" spans="1:8">
      <c r="A23" s="200" t="s">
        <v>2941</v>
      </c>
      <c r="B23" s="200" t="s">
        <v>2961</v>
      </c>
      <c r="C23" s="201" t="s">
        <v>38</v>
      </c>
      <c r="D23" s="200">
        <v>40</v>
      </c>
      <c r="E23" s="203">
        <v>0.05</v>
      </c>
      <c r="F23" s="204">
        <v>4200</v>
      </c>
      <c r="G23" s="204">
        <f>D23*(1+E23)*F23</f>
        <v>176400</v>
      </c>
      <c r="H23" s="205" t="s">
        <v>2879</v>
      </c>
    </row>
    <row r="24" spans="1:8">
      <c r="A24" s="200" t="s">
        <v>2945</v>
      </c>
      <c r="B24" s="200" t="s">
        <v>2962</v>
      </c>
      <c r="C24" s="201" t="s">
        <v>38</v>
      </c>
      <c r="D24" s="200">
        <v>30</v>
      </c>
      <c r="E24" s="203">
        <v>0.05</v>
      </c>
      <c r="F24" s="204">
        <v>3800</v>
      </c>
      <c r="G24" s="204">
        <f>D24*(1+E24)*F24</f>
        <v>119700</v>
      </c>
      <c r="H24" s="205" t="s">
        <v>2879</v>
      </c>
    </row>
    <row r="25" spans="1:8">
      <c r="A25" s="200" t="s">
        <v>2947</v>
      </c>
      <c r="B25" s="200" t="s">
        <v>2963</v>
      </c>
      <c r="C25" s="201" t="s">
        <v>2881</v>
      </c>
      <c r="D25" s="200">
        <v>1</v>
      </c>
      <c r="E25" s="203">
        <v>0.05</v>
      </c>
      <c r="F25" s="204">
        <v>320000</v>
      </c>
      <c r="G25" s="204">
        <f>D25*(1+E25)*F25</f>
        <v>336000</v>
      </c>
      <c r="H25" s="205" t="s">
        <v>2944</v>
      </c>
    </row>
    <row r="26" spans="1:8">
      <c r="A26" s="199" t="s">
        <v>2950</v>
      </c>
      <c r="B26" s="199" t="s">
        <v>2883</v>
      </c>
    </row>
    <row r="27" spans="1:8">
      <c r="A27" s="207" t="s">
        <v>2951</v>
      </c>
      <c r="B27" s="207" t="s">
        <v>2964</v>
      </c>
      <c r="C27" s="208" t="s">
        <v>95</v>
      </c>
      <c r="D27" s="207">
        <v>3</v>
      </c>
      <c r="E27" s="210">
        <v>0.52</v>
      </c>
      <c r="F27" s="211">
        <v>72000</v>
      </c>
      <c r="G27" s="211">
        <f>D27*(1+E27)*F27</f>
        <v>328320.00000000006</v>
      </c>
      <c r="H27" s="205" t="s">
        <v>2965</v>
      </c>
    </row>
    <row r="28" spans="1:8">
      <c r="A28" s="207" t="s">
        <v>2953</v>
      </c>
      <c r="B28" s="207" t="s">
        <v>2966</v>
      </c>
      <c r="C28" s="208" t="s">
        <v>95</v>
      </c>
      <c r="D28" s="207">
        <v>3</v>
      </c>
      <c r="E28" s="210">
        <v>0.52</v>
      </c>
      <c r="F28" s="211">
        <v>48500</v>
      </c>
      <c r="G28" s="211">
        <f>D28*(1+E28)*F28</f>
        <v>221160.00000000003</v>
      </c>
      <c r="H28" s="205" t="s">
        <v>2967</v>
      </c>
    </row>
    <row r="29" spans="1:8">
      <c r="A29" s="213" t="s">
        <v>2968</v>
      </c>
      <c r="G29" s="215">
        <f>SUM(G22:G28)</f>
        <v>1631580</v>
      </c>
    </row>
    <row r="30" spans="1:8">
      <c r="A30" s="216" t="s">
        <v>2905</v>
      </c>
      <c r="G30" s="217">
        <f>G29*0.23</f>
        <v>375263.4</v>
      </c>
    </row>
    <row r="31" spans="1:8">
      <c r="A31" s="220" t="s">
        <v>2969</v>
      </c>
      <c r="G31" s="223">
        <f>G29+G30</f>
        <v>2006843.4</v>
      </c>
    </row>
    <row r="33" spans="1:8">
      <c r="A33" s="224" t="s">
        <v>2970</v>
      </c>
      <c r="B33" s="224" t="s">
        <v>2971</v>
      </c>
      <c r="C33" s="226" t="s">
        <v>2881</v>
      </c>
      <c r="D33" s="227" t="s">
        <v>2972</v>
      </c>
    </row>
    <row r="34" spans="1:8">
      <c r="A34" s="200" t="s">
        <v>2939</v>
      </c>
      <c r="B34" s="200" t="s">
        <v>2973</v>
      </c>
      <c r="C34" s="201" t="s">
        <v>38</v>
      </c>
      <c r="D34" s="200">
        <v>12</v>
      </c>
      <c r="E34" s="203">
        <v>0.05</v>
      </c>
      <c r="F34" s="204">
        <v>28000</v>
      </c>
      <c r="G34" s="204">
        <f>D34*(1+E34)*F34</f>
        <v>352800.00000000006</v>
      </c>
      <c r="H34" s="205" t="s">
        <v>2879</v>
      </c>
    </row>
    <row r="35" spans="1:8">
      <c r="A35" s="200" t="s">
        <v>2941</v>
      </c>
      <c r="B35" s="200" t="s">
        <v>2974</v>
      </c>
      <c r="C35" s="201" t="s">
        <v>38</v>
      </c>
      <c r="D35" s="200">
        <v>30</v>
      </c>
      <c r="E35" s="203">
        <v>0.03</v>
      </c>
      <c r="F35" s="204">
        <v>35000</v>
      </c>
      <c r="G35" s="204">
        <f>D35*(1+E35)*F35</f>
        <v>1081500</v>
      </c>
      <c r="H35" s="205" t="s">
        <v>2975</v>
      </c>
    </row>
    <row r="36" spans="1:8">
      <c r="A36" s="200" t="s">
        <v>2945</v>
      </c>
      <c r="B36" s="200" t="s">
        <v>2976</v>
      </c>
      <c r="C36" s="201" t="s">
        <v>2943</v>
      </c>
      <c r="D36" s="200">
        <v>2</v>
      </c>
      <c r="E36" s="203">
        <v>0</v>
      </c>
      <c r="F36" s="204">
        <v>85000</v>
      </c>
      <c r="G36" s="204">
        <f>D36*(1+E36)*F36</f>
        <v>170000</v>
      </c>
      <c r="H36" s="205" t="s">
        <v>2977</v>
      </c>
    </row>
    <row r="37" spans="1:8">
      <c r="A37" s="207" t="s">
        <v>2951</v>
      </c>
      <c r="B37" s="207" t="s">
        <v>2978</v>
      </c>
      <c r="C37" s="208" t="s">
        <v>95</v>
      </c>
      <c r="D37" s="207">
        <v>2</v>
      </c>
      <c r="E37" s="210">
        <v>0.52</v>
      </c>
      <c r="F37" s="211">
        <v>58364</v>
      </c>
      <c r="G37" s="211">
        <f>D37*(1+E37)*F37</f>
        <v>177426.56</v>
      </c>
      <c r="H37" s="205" t="s">
        <v>2967</v>
      </c>
    </row>
    <row r="38" spans="1:8">
      <c r="A38" s="207" t="s">
        <v>2953</v>
      </c>
      <c r="B38" s="207" t="s">
        <v>96</v>
      </c>
      <c r="C38" s="208" t="s">
        <v>95</v>
      </c>
      <c r="D38" s="207">
        <v>2</v>
      </c>
      <c r="E38" s="210">
        <v>0.52</v>
      </c>
      <c r="F38" s="211">
        <v>48500</v>
      </c>
      <c r="G38" s="211">
        <f>D38*(1+E38)*F38</f>
        <v>147440</v>
      </c>
      <c r="H38" s="205" t="s">
        <v>2967</v>
      </c>
    </row>
    <row r="39" spans="1:8">
      <c r="A39" s="213" t="s">
        <v>2979</v>
      </c>
      <c r="G39" s="215">
        <f>SUM(G34:G38)</f>
        <v>1929166.56</v>
      </c>
    </row>
    <row r="40" spans="1:8">
      <c r="A40" s="216" t="s">
        <v>2905</v>
      </c>
      <c r="G40" s="217">
        <f>G39*0.23</f>
        <v>443708.30880000006</v>
      </c>
    </row>
    <row r="41" spans="1:8">
      <c r="A41" s="225" t="s">
        <v>2980</v>
      </c>
      <c r="G41" s="230">
        <f>G39+G40</f>
        <v>2372874.8688000003</v>
      </c>
    </row>
    <row r="43" spans="1:8">
      <c r="A43" s="231" t="s">
        <v>2981</v>
      </c>
      <c r="B43" s="232"/>
      <c r="C43" s="233" t="s">
        <v>2865</v>
      </c>
      <c r="D43" s="233" t="s">
        <v>2982</v>
      </c>
      <c r="E43" s="233" t="s">
        <v>2983</v>
      </c>
      <c r="F43" s="233" t="s">
        <v>2924</v>
      </c>
    </row>
    <row r="44" spans="1:8">
      <c r="A44" t="s">
        <v>2934</v>
      </c>
      <c r="B44" t="s">
        <v>2984</v>
      </c>
      <c r="C44" s="234" t="s">
        <v>2881</v>
      </c>
      <c r="D44">
        <v>1</v>
      </c>
      <c r="E44" s="206">
        <f>G18</f>
        <v>1611527.55</v>
      </c>
      <c r="F44" s="236">
        <f>D44*E44</f>
        <v>1611527.55</v>
      </c>
    </row>
    <row r="45" spans="1:8">
      <c r="A45" t="s">
        <v>2957</v>
      </c>
      <c r="B45" t="s">
        <v>2985</v>
      </c>
      <c r="C45" s="234" t="s">
        <v>2881</v>
      </c>
      <c r="D45">
        <v>1</v>
      </c>
      <c r="E45" s="206">
        <f>G31</f>
        <v>2006843.4</v>
      </c>
      <c r="F45" s="236">
        <f>D45*E45</f>
        <v>2006843.4</v>
      </c>
    </row>
    <row r="46" spans="1:8">
      <c r="A46" t="s">
        <v>2970</v>
      </c>
      <c r="B46" t="s">
        <v>2986</v>
      </c>
      <c r="C46" s="234" t="s">
        <v>2881</v>
      </c>
      <c r="D46">
        <v>1</v>
      </c>
      <c r="E46" s="206">
        <f>G41</f>
        <v>2372874.8688000003</v>
      </c>
      <c r="F46" s="236">
        <f>D46*E46</f>
        <v>2372874.8688000003</v>
      </c>
    </row>
    <row r="47" spans="1:8" ht="15.6">
      <c r="A47" s="248" t="s">
        <v>2987</v>
      </c>
      <c r="B47" s="249"/>
      <c r="C47" s="249"/>
      <c r="D47" s="249"/>
      <c r="E47" s="249"/>
      <c r="F47" s="250">
        <f>F44+F45+F46</f>
        <v>5991245.8188000005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48C13-4DE5-451F-BC9F-93758E10D03F}">
  <dimension ref="A1:H72"/>
  <sheetViews>
    <sheetView workbookViewId="0">
      <pane ySplit="6" topLeftCell="A7" activePane="bottomLeft" state="frozen"/>
      <selection pane="bottomLeft" activeCell="B10" sqref="B10"/>
    </sheetView>
  </sheetViews>
  <sheetFormatPr baseColWidth="10" defaultRowHeight="14.4"/>
  <cols>
    <col min="1" max="1" width="15.77734375" customWidth="1"/>
    <col min="2" max="2" width="67.77734375" customWidth="1"/>
    <col min="3" max="3" width="10.21875" customWidth="1"/>
    <col min="4" max="4" width="12" customWidth="1"/>
    <col min="5" max="5" width="13.88671875" customWidth="1"/>
    <col min="6" max="7" width="18.5546875" customWidth="1"/>
    <col min="8" max="8" width="40.77734375" customWidth="1"/>
  </cols>
  <sheetData>
    <row r="1" spans="1:8" ht="17.399999999999999">
      <c r="A1" s="251" t="s">
        <v>2988</v>
      </c>
    </row>
    <row r="2" spans="1:8">
      <c r="A2" s="252" t="s">
        <v>2989</v>
      </c>
    </row>
    <row r="3" spans="1:8">
      <c r="A3" s="253" t="s">
        <v>2990</v>
      </c>
    </row>
    <row r="5" spans="1:8">
      <c r="A5" s="255" t="s">
        <v>2863</v>
      </c>
      <c r="B5" s="254" t="s">
        <v>2864</v>
      </c>
      <c r="C5" s="255" t="s">
        <v>2865</v>
      </c>
      <c r="D5" s="255" t="s">
        <v>2866</v>
      </c>
      <c r="E5" s="255" t="s">
        <v>2867</v>
      </c>
      <c r="F5" s="255" t="s">
        <v>2868</v>
      </c>
      <c r="G5" s="255" t="s">
        <v>2869</v>
      </c>
      <c r="H5" s="255" t="s">
        <v>2870</v>
      </c>
    </row>
    <row r="7" spans="1:8">
      <c r="A7" s="256" t="s">
        <v>2991</v>
      </c>
      <c r="B7" s="256" t="s">
        <v>2992</v>
      </c>
      <c r="C7" s="258" t="s">
        <v>38</v>
      </c>
      <c r="D7" s="259" t="s">
        <v>2993</v>
      </c>
    </row>
    <row r="8" spans="1:8">
      <c r="A8" s="199" t="s">
        <v>2994</v>
      </c>
      <c r="B8" s="199" t="s">
        <v>2938</v>
      </c>
    </row>
    <row r="9" spans="1:8" ht="44.4" customHeight="1">
      <c r="A9" s="200" t="s">
        <v>2939</v>
      </c>
      <c r="B9" s="306" t="s">
        <v>3104</v>
      </c>
      <c r="C9" s="201" t="s">
        <v>44</v>
      </c>
      <c r="D9" s="228">
        <v>0.107</v>
      </c>
      <c r="E9" s="203">
        <v>0.1</v>
      </c>
      <c r="F9" s="204">
        <v>520000</v>
      </c>
      <c r="G9" s="204">
        <f>D9*(1+E9)*F9</f>
        <v>61204.000000000007</v>
      </c>
      <c r="H9" s="205" t="s">
        <v>2995</v>
      </c>
    </row>
    <row r="10" spans="1:8" ht="44.4" customHeight="1">
      <c r="A10" s="200" t="s">
        <v>2941</v>
      </c>
      <c r="B10" s="306" t="s">
        <v>2996</v>
      </c>
      <c r="C10" s="201" t="s">
        <v>51</v>
      </c>
      <c r="D10" s="260">
        <v>14.5</v>
      </c>
      <c r="E10" s="203">
        <v>0.05</v>
      </c>
      <c r="F10" s="204">
        <v>4200</v>
      </c>
      <c r="G10" s="204">
        <f>D10*(1+E10)*F10</f>
        <v>63945.000000000007</v>
      </c>
      <c r="H10" s="205" t="s">
        <v>2997</v>
      </c>
    </row>
    <row r="11" spans="1:8" ht="44.4" customHeight="1">
      <c r="A11" s="200" t="s">
        <v>2945</v>
      </c>
      <c r="B11" s="306" t="s">
        <v>2998</v>
      </c>
      <c r="C11" s="201" t="s">
        <v>51</v>
      </c>
      <c r="D11" s="260">
        <v>6.2</v>
      </c>
      <c r="E11" s="203">
        <v>0.05</v>
      </c>
      <c r="F11" s="204">
        <v>4200</v>
      </c>
      <c r="G11" s="204">
        <f>D11*(1+E11)*F11</f>
        <v>27342.000000000004</v>
      </c>
      <c r="H11" s="205" t="s">
        <v>2997</v>
      </c>
    </row>
    <row r="12" spans="1:8" ht="44.4" customHeight="1">
      <c r="A12" s="200" t="s">
        <v>2947</v>
      </c>
      <c r="B12" s="306" t="s">
        <v>2999</v>
      </c>
      <c r="C12" s="201" t="s">
        <v>2943</v>
      </c>
      <c r="D12" s="200">
        <v>4</v>
      </c>
      <c r="E12" s="203">
        <v>0</v>
      </c>
      <c r="F12" s="204">
        <v>2500</v>
      </c>
      <c r="G12" s="204">
        <f>D12*(1+E12)*F12</f>
        <v>10000</v>
      </c>
      <c r="H12" s="205" t="s">
        <v>3000</v>
      </c>
    </row>
    <row r="13" spans="1:8" ht="44.4" customHeight="1">
      <c r="A13" s="200" t="s">
        <v>3001</v>
      </c>
      <c r="B13" s="306" t="s">
        <v>3002</v>
      </c>
      <c r="C13" s="201" t="s">
        <v>87</v>
      </c>
      <c r="D13" s="260">
        <v>0.2</v>
      </c>
      <c r="E13" s="203">
        <v>0</v>
      </c>
      <c r="F13" s="204">
        <v>28000</v>
      </c>
      <c r="G13" s="204">
        <f>D13*(1+E13)*F13</f>
        <v>5600</v>
      </c>
      <c r="H13" s="205" t="s">
        <v>3003</v>
      </c>
    </row>
    <row r="14" spans="1:8" ht="44.4" customHeight="1">
      <c r="A14" s="199" t="s">
        <v>3004</v>
      </c>
      <c r="B14" s="199" t="s">
        <v>3005</v>
      </c>
    </row>
    <row r="15" spans="1:8" ht="44.4" customHeight="1">
      <c r="A15" s="207" t="s">
        <v>2951</v>
      </c>
      <c r="B15" s="307" t="s">
        <v>3006</v>
      </c>
      <c r="C15" s="208" t="s">
        <v>98</v>
      </c>
      <c r="D15" s="229">
        <v>9.5000000000000001E-2</v>
      </c>
      <c r="E15" s="210">
        <v>0</v>
      </c>
      <c r="F15" s="211">
        <v>320000</v>
      </c>
      <c r="G15" s="211">
        <f>D15*(1+E15)*F15</f>
        <v>30400</v>
      </c>
      <c r="H15" s="205" t="s">
        <v>2913</v>
      </c>
    </row>
    <row r="16" spans="1:8" ht="44.4" customHeight="1">
      <c r="A16" s="207" t="s">
        <v>2953</v>
      </c>
      <c r="B16" s="307" t="s">
        <v>3007</v>
      </c>
      <c r="C16" s="208" t="s">
        <v>95</v>
      </c>
      <c r="D16" s="261">
        <v>0.12</v>
      </c>
      <c r="E16" s="210">
        <v>0.52</v>
      </c>
      <c r="F16" s="211">
        <v>72000</v>
      </c>
      <c r="G16" s="211">
        <f>D16*(1+E16)*F16</f>
        <v>13132.800000000001</v>
      </c>
      <c r="H16" s="205" t="s">
        <v>2885</v>
      </c>
    </row>
    <row r="17" spans="1:8" ht="44.4" customHeight="1">
      <c r="A17" s="207" t="s">
        <v>3008</v>
      </c>
      <c r="B17" s="307" t="s">
        <v>3009</v>
      </c>
      <c r="C17" s="208" t="s">
        <v>95</v>
      </c>
      <c r="D17" s="261">
        <v>0.06</v>
      </c>
      <c r="E17" s="210">
        <v>0.52</v>
      </c>
      <c r="F17" s="211">
        <v>65000</v>
      </c>
      <c r="G17" s="211">
        <f>D17*(1+E17)*F17</f>
        <v>5928</v>
      </c>
      <c r="H17" s="205" t="s">
        <v>2967</v>
      </c>
    </row>
    <row r="18" spans="1:8" ht="44.4" customHeight="1">
      <c r="A18" s="207" t="s">
        <v>3010</v>
      </c>
      <c r="B18" s="307" t="s">
        <v>3011</v>
      </c>
      <c r="C18" s="208" t="s">
        <v>95</v>
      </c>
      <c r="D18" s="229">
        <v>0.23599999999999999</v>
      </c>
      <c r="E18" s="210">
        <v>0.52</v>
      </c>
      <c r="F18" s="211">
        <v>48500</v>
      </c>
      <c r="G18" s="211">
        <f>D18*(1+E18)*F18</f>
        <v>17397.919999999998</v>
      </c>
      <c r="H18" s="205" t="s">
        <v>2967</v>
      </c>
    </row>
    <row r="19" spans="1:8" ht="44.4" customHeight="1">
      <c r="A19" s="207" t="s">
        <v>3012</v>
      </c>
      <c r="B19" s="307" t="s">
        <v>3013</v>
      </c>
      <c r="C19" s="208" t="s">
        <v>98</v>
      </c>
      <c r="D19" s="261">
        <v>0.04</v>
      </c>
      <c r="E19" s="210">
        <v>0</v>
      </c>
      <c r="F19" s="211">
        <v>95000</v>
      </c>
      <c r="G19" s="211">
        <f>D19*(1+E19)*F19</f>
        <v>3800</v>
      </c>
      <c r="H19" s="205" t="s">
        <v>3014</v>
      </c>
    </row>
    <row r="20" spans="1:8">
      <c r="A20" s="213" t="s">
        <v>3015</v>
      </c>
      <c r="G20" s="215">
        <f>SUM(G9:G19)</f>
        <v>238749.72000000003</v>
      </c>
    </row>
    <row r="21" spans="1:8">
      <c r="A21" s="216" t="s">
        <v>2905</v>
      </c>
      <c r="G21" s="217">
        <f>G20*0.23</f>
        <v>54912.435600000012</v>
      </c>
    </row>
    <row r="22" spans="1:8">
      <c r="A22" s="257" t="s">
        <v>3016</v>
      </c>
      <c r="G22" s="262">
        <f>G20+G21</f>
        <v>293662.15560000006</v>
      </c>
    </row>
    <row r="24" spans="1:8">
      <c r="A24" s="264" t="s">
        <v>3017</v>
      </c>
      <c r="B24" s="264" t="s">
        <v>3018</v>
      </c>
      <c r="C24" s="266" t="s">
        <v>44</v>
      </c>
      <c r="D24" s="267" t="s">
        <v>3019</v>
      </c>
    </row>
    <row r="25" spans="1:8">
      <c r="A25" s="199" t="s">
        <v>2994</v>
      </c>
      <c r="B25" s="199" t="s">
        <v>2938</v>
      </c>
    </row>
    <row r="26" spans="1:8">
      <c r="A26" s="200" t="s">
        <v>2939</v>
      </c>
      <c r="B26" s="200" t="s">
        <v>3020</v>
      </c>
      <c r="C26" s="201" t="s">
        <v>44</v>
      </c>
      <c r="D26" s="200">
        <v>1</v>
      </c>
      <c r="E26" s="203">
        <v>0.05</v>
      </c>
      <c r="F26" s="204">
        <v>480000</v>
      </c>
      <c r="G26" s="204">
        <f>D26*(1+E26)*F26</f>
        <v>504000</v>
      </c>
      <c r="H26" s="205" t="s">
        <v>3021</v>
      </c>
    </row>
    <row r="27" spans="1:8">
      <c r="A27" s="200" t="s">
        <v>2941</v>
      </c>
      <c r="B27" s="200" t="s">
        <v>3022</v>
      </c>
      <c r="C27" s="201" t="s">
        <v>51</v>
      </c>
      <c r="D27" s="200">
        <v>110</v>
      </c>
      <c r="E27" s="203">
        <v>0.05</v>
      </c>
      <c r="F27" s="204">
        <v>4200</v>
      </c>
      <c r="G27" s="204">
        <f>D27*(1+E27)*F27</f>
        <v>485100</v>
      </c>
      <c r="H27" s="205" t="s">
        <v>2997</v>
      </c>
    </row>
    <row r="28" spans="1:8">
      <c r="A28" s="200" t="s">
        <v>2945</v>
      </c>
      <c r="B28" s="200" t="s">
        <v>3023</v>
      </c>
      <c r="C28" s="201" t="s">
        <v>40</v>
      </c>
      <c r="D28" s="200">
        <v>5.5</v>
      </c>
      <c r="E28" s="203">
        <v>0.02</v>
      </c>
      <c r="F28" s="204">
        <v>12000</v>
      </c>
      <c r="G28" s="204">
        <f>D28*(1+E28)*F28</f>
        <v>67320</v>
      </c>
      <c r="H28" s="205" t="s">
        <v>3024</v>
      </c>
    </row>
    <row r="29" spans="1:8">
      <c r="A29" s="200" t="s">
        <v>2947</v>
      </c>
      <c r="B29" s="200" t="s">
        <v>3025</v>
      </c>
      <c r="C29" s="201" t="s">
        <v>2943</v>
      </c>
      <c r="D29" s="200">
        <v>15</v>
      </c>
      <c r="E29" s="203">
        <v>0</v>
      </c>
      <c r="F29" s="204">
        <v>1200</v>
      </c>
      <c r="G29" s="204">
        <f>D29*(1+E29)*F29</f>
        <v>18000</v>
      </c>
      <c r="H29" s="205" t="s">
        <v>3000</v>
      </c>
    </row>
    <row r="30" spans="1:8">
      <c r="A30" s="200" t="s">
        <v>3001</v>
      </c>
      <c r="B30" s="200" t="s">
        <v>3026</v>
      </c>
      <c r="C30" s="201" t="s">
        <v>87</v>
      </c>
      <c r="D30" s="200">
        <v>0.5</v>
      </c>
      <c r="E30" s="203">
        <v>0</v>
      </c>
      <c r="F30" s="204">
        <v>28000</v>
      </c>
      <c r="G30" s="204">
        <f>D30*(1+E30)*F30</f>
        <v>14000</v>
      </c>
      <c r="H30" s="205" t="s">
        <v>3003</v>
      </c>
    </row>
    <row r="31" spans="1:8">
      <c r="A31" s="199" t="s">
        <v>3004</v>
      </c>
      <c r="B31" s="199" t="s">
        <v>3027</v>
      </c>
    </row>
    <row r="32" spans="1:8">
      <c r="A32" s="207" t="s">
        <v>2951</v>
      </c>
      <c r="B32" s="207" t="s">
        <v>3028</v>
      </c>
      <c r="C32" s="208" t="s">
        <v>95</v>
      </c>
      <c r="D32" s="207">
        <v>2.5</v>
      </c>
      <c r="E32" s="210">
        <v>0.52</v>
      </c>
      <c r="F32" s="211">
        <v>72000</v>
      </c>
      <c r="G32" s="211">
        <f t="shared" ref="G32:G37" si="0">D32*(1+E32)*F32</f>
        <v>273600</v>
      </c>
      <c r="H32" s="205" t="s">
        <v>2967</v>
      </c>
    </row>
    <row r="33" spans="1:8">
      <c r="A33" s="207" t="s">
        <v>2953</v>
      </c>
      <c r="B33" s="207" t="s">
        <v>3029</v>
      </c>
      <c r="C33" s="208" t="s">
        <v>95</v>
      </c>
      <c r="D33" s="207">
        <v>5</v>
      </c>
      <c r="E33" s="210">
        <v>0.52</v>
      </c>
      <c r="F33" s="211">
        <v>48500</v>
      </c>
      <c r="G33" s="211">
        <f t="shared" si="0"/>
        <v>368600</v>
      </c>
      <c r="H33" s="205" t="s">
        <v>2967</v>
      </c>
    </row>
    <row r="34" spans="1:8">
      <c r="A34" s="207" t="s">
        <v>3008</v>
      </c>
      <c r="B34" s="207" t="s">
        <v>3030</v>
      </c>
      <c r="C34" s="208" t="s">
        <v>95</v>
      </c>
      <c r="D34" s="207">
        <v>1.5</v>
      </c>
      <c r="E34" s="210">
        <v>0.52</v>
      </c>
      <c r="F34" s="211">
        <v>68000</v>
      </c>
      <c r="G34" s="211">
        <f t="shared" si="0"/>
        <v>155040.00000000003</v>
      </c>
      <c r="H34" s="205" t="s">
        <v>2967</v>
      </c>
    </row>
    <row r="35" spans="1:8">
      <c r="A35" s="207" t="s">
        <v>3010</v>
      </c>
      <c r="B35" s="207" t="s">
        <v>3031</v>
      </c>
      <c r="C35" s="208" t="s">
        <v>95</v>
      </c>
      <c r="D35" s="207">
        <v>0.8</v>
      </c>
      <c r="E35" s="210">
        <v>0.52</v>
      </c>
      <c r="F35" s="211">
        <v>65000</v>
      </c>
      <c r="G35" s="211">
        <f t="shared" si="0"/>
        <v>79040.000000000015</v>
      </c>
      <c r="H35" s="205" t="s">
        <v>2967</v>
      </c>
    </row>
    <row r="36" spans="1:8">
      <c r="A36" s="207" t="s">
        <v>3012</v>
      </c>
      <c r="B36" s="207" t="s">
        <v>3032</v>
      </c>
      <c r="C36" s="208" t="s">
        <v>98</v>
      </c>
      <c r="D36" s="207">
        <v>0.2</v>
      </c>
      <c r="E36" s="210">
        <v>0</v>
      </c>
      <c r="F36" s="211">
        <v>95000</v>
      </c>
      <c r="G36" s="211">
        <f t="shared" si="0"/>
        <v>19000</v>
      </c>
      <c r="H36" s="205" t="s">
        <v>3014</v>
      </c>
    </row>
    <row r="37" spans="1:8">
      <c r="A37" s="207" t="s">
        <v>3033</v>
      </c>
      <c r="B37" s="207" t="s">
        <v>3034</v>
      </c>
      <c r="C37" s="208" t="s">
        <v>98</v>
      </c>
      <c r="D37" s="207">
        <v>0.5</v>
      </c>
      <c r="E37" s="210">
        <v>0</v>
      </c>
      <c r="F37" s="211">
        <v>20000</v>
      </c>
      <c r="G37" s="211">
        <f t="shared" si="0"/>
        <v>10000</v>
      </c>
      <c r="H37" s="205" t="s">
        <v>3035</v>
      </c>
    </row>
    <row r="38" spans="1:8">
      <c r="A38" s="213" t="s">
        <v>3036</v>
      </c>
      <c r="G38" s="215">
        <f>SUM(G26:G37)</f>
        <v>1993700</v>
      </c>
    </row>
    <row r="39" spans="1:8">
      <c r="A39" s="216" t="s">
        <v>2905</v>
      </c>
      <c r="G39" s="217">
        <f>G38*0.23</f>
        <v>458551</v>
      </c>
    </row>
    <row r="40" spans="1:8">
      <c r="A40" s="265" t="s">
        <v>3037</v>
      </c>
      <c r="G40" s="268">
        <f>G38+G39</f>
        <v>2452251</v>
      </c>
    </row>
    <row r="42" spans="1:8">
      <c r="A42" s="269" t="s">
        <v>3038</v>
      </c>
      <c r="B42" s="269" t="s">
        <v>3039</v>
      </c>
      <c r="C42" s="271" t="s">
        <v>40</v>
      </c>
      <c r="D42" s="272" t="s">
        <v>3040</v>
      </c>
    </row>
    <row r="43" spans="1:8">
      <c r="A43" s="199" t="s">
        <v>2994</v>
      </c>
      <c r="B43" s="199" t="s">
        <v>2938</v>
      </c>
    </row>
    <row r="44" spans="1:8">
      <c r="A44" s="200" t="s">
        <v>2939</v>
      </c>
      <c r="B44" s="200" t="s">
        <v>3041</v>
      </c>
      <c r="C44" s="201" t="s">
        <v>44</v>
      </c>
      <c r="D44" s="228">
        <v>0.16500000000000001</v>
      </c>
      <c r="E44" s="203">
        <v>0.05</v>
      </c>
      <c r="F44" s="204">
        <v>450000</v>
      </c>
      <c r="G44" s="204">
        <f>D44*(1+E44)*F44</f>
        <v>77962.5</v>
      </c>
      <c r="H44" s="205" t="s">
        <v>3042</v>
      </c>
    </row>
    <row r="45" spans="1:8">
      <c r="A45" s="200" t="s">
        <v>2941</v>
      </c>
      <c r="B45" s="200" t="s">
        <v>3043</v>
      </c>
      <c r="C45" s="201" t="s">
        <v>40</v>
      </c>
      <c r="D45" s="200">
        <v>1</v>
      </c>
      <c r="E45" s="203">
        <v>0.1</v>
      </c>
      <c r="F45" s="204">
        <v>18500</v>
      </c>
      <c r="G45" s="204">
        <f>D45*(1+E45)*F45</f>
        <v>20350</v>
      </c>
      <c r="H45" s="205" t="s">
        <v>3044</v>
      </c>
    </row>
    <row r="46" spans="1:8">
      <c r="A46" s="200" t="s">
        <v>2945</v>
      </c>
      <c r="B46" s="200" t="s">
        <v>3045</v>
      </c>
      <c r="C46" s="201" t="s">
        <v>44</v>
      </c>
      <c r="D46" s="228">
        <v>0.11</v>
      </c>
      <c r="E46" s="203">
        <v>0.1</v>
      </c>
      <c r="F46" s="204">
        <v>95000</v>
      </c>
      <c r="G46" s="204">
        <f>D46*(1+E46)*F46</f>
        <v>11495.000000000002</v>
      </c>
      <c r="H46" s="205" t="s">
        <v>3046</v>
      </c>
    </row>
    <row r="47" spans="1:8">
      <c r="A47" s="200" t="s">
        <v>2947</v>
      </c>
      <c r="B47" s="200" t="s">
        <v>3047</v>
      </c>
      <c r="C47" s="201" t="s">
        <v>87</v>
      </c>
      <c r="D47" s="200">
        <v>0.3</v>
      </c>
      <c r="E47" s="203">
        <v>0</v>
      </c>
      <c r="F47" s="204">
        <v>28000</v>
      </c>
      <c r="G47" s="204">
        <f>D47*(1+E47)*F47</f>
        <v>8400</v>
      </c>
      <c r="H47" s="205" t="s">
        <v>3048</v>
      </c>
    </row>
    <row r="48" spans="1:8">
      <c r="A48" s="200" t="s">
        <v>3001</v>
      </c>
      <c r="B48" s="200" t="s">
        <v>3049</v>
      </c>
      <c r="C48" s="201" t="s">
        <v>40</v>
      </c>
      <c r="D48" s="200">
        <v>1</v>
      </c>
      <c r="E48" s="203">
        <v>0.15</v>
      </c>
      <c r="F48" s="204">
        <v>12000</v>
      </c>
      <c r="G48" s="204">
        <f>D48*(1+E48)*F48</f>
        <v>13799.999999999998</v>
      </c>
      <c r="H48" s="205" t="s">
        <v>3050</v>
      </c>
    </row>
    <row r="49" spans="1:8">
      <c r="A49" s="199" t="s">
        <v>3004</v>
      </c>
      <c r="B49" s="199" t="s">
        <v>3027</v>
      </c>
    </row>
    <row r="50" spans="1:8">
      <c r="A50" s="207" t="s">
        <v>2951</v>
      </c>
      <c r="B50" s="207" t="s">
        <v>3051</v>
      </c>
      <c r="C50" s="208" t="s">
        <v>95</v>
      </c>
      <c r="D50" s="261">
        <v>0.08</v>
      </c>
      <c r="E50" s="210">
        <v>0.52</v>
      </c>
      <c r="F50" s="211">
        <v>58364</v>
      </c>
      <c r="G50" s="211">
        <f>D50*(1+E50)*F50</f>
        <v>7097.0623999999998</v>
      </c>
      <c r="H50" s="205" t="s">
        <v>2967</v>
      </c>
    </row>
    <row r="51" spans="1:8">
      <c r="A51" s="207" t="s">
        <v>2953</v>
      </c>
      <c r="B51" s="207" t="s">
        <v>3052</v>
      </c>
      <c r="C51" s="208" t="s">
        <v>95</v>
      </c>
      <c r="D51" s="261">
        <v>0.16</v>
      </c>
      <c r="E51" s="210">
        <v>0.52</v>
      </c>
      <c r="F51" s="211">
        <v>48500</v>
      </c>
      <c r="G51" s="211">
        <f>D51*(1+E51)*F51</f>
        <v>11795.2</v>
      </c>
      <c r="H51" s="205" t="s">
        <v>2967</v>
      </c>
    </row>
    <row r="52" spans="1:8">
      <c r="A52" s="207" t="s">
        <v>3008</v>
      </c>
      <c r="B52" s="207" t="s">
        <v>3053</v>
      </c>
      <c r="C52" s="208" t="s">
        <v>95</v>
      </c>
      <c r="D52" s="261">
        <v>0.06</v>
      </c>
      <c r="E52" s="210">
        <v>0.52</v>
      </c>
      <c r="F52" s="211">
        <v>65000</v>
      </c>
      <c r="G52" s="211">
        <f>D52*(1+E52)*F52</f>
        <v>5928</v>
      </c>
      <c r="H52" s="205" t="s">
        <v>2967</v>
      </c>
    </row>
    <row r="53" spans="1:8">
      <c r="A53" s="207" t="s">
        <v>3010</v>
      </c>
      <c r="B53" s="207" t="s">
        <v>3054</v>
      </c>
      <c r="C53" s="208" t="s">
        <v>98</v>
      </c>
      <c r="D53" s="261">
        <v>0.05</v>
      </c>
      <c r="E53" s="210">
        <v>0</v>
      </c>
      <c r="F53" s="211">
        <v>95000</v>
      </c>
      <c r="G53" s="211">
        <f>D53*(1+E53)*F53</f>
        <v>4750</v>
      </c>
      <c r="H53" s="205" t="s">
        <v>3055</v>
      </c>
    </row>
    <row r="54" spans="1:8">
      <c r="A54" s="207" t="s">
        <v>3012</v>
      </c>
      <c r="B54" s="207" t="s">
        <v>3056</v>
      </c>
      <c r="C54" s="208" t="s">
        <v>98</v>
      </c>
      <c r="D54" s="261">
        <v>0.03</v>
      </c>
      <c r="E54" s="210">
        <v>0</v>
      </c>
      <c r="F54" s="211">
        <v>25000</v>
      </c>
      <c r="G54" s="211">
        <f>D54*(1+E54)*F54</f>
        <v>750</v>
      </c>
      <c r="H54" s="205" t="s">
        <v>3035</v>
      </c>
    </row>
    <row r="55" spans="1:8">
      <c r="A55" s="213" t="s">
        <v>3057</v>
      </c>
      <c r="G55" s="215">
        <f>SUM(G44:G54)</f>
        <v>162327.76240000001</v>
      </c>
    </row>
    <row r="56" spans="1:8">
      <c r="A56" s="216" t="s">
        <v>2905</v>
      </c>
      <c r="G56" s="217">
        <f>G55*0.23</f>
        <v>37335.385352000005</v>
      </c>
    </row>
    <row r="57" spans="1:8">
      <c r="A57" s="270" t="s">
        <v>3058</v>
      </c>
      <c r="G57" s="273">
        <f>G55+G56</f>
        <v>199663.14775200002</v>
      </c>
    </row>
    <row r="59" spans="1:8">
      <c r="A59" s="274" t="s">
        <v>3059</v>
      </c>
      <c r="B59" s="274" t="s">
        <v>3060</v>
      </c>
      <c r="C59" s="276" t="s">
        <v>2943</v>
      </c>
      <c r="D59" s="277" t="s">
        <v>3061</v>
      </c>
    </row>
    <row r="60" spans="1:8">
      <c r="A60" s="207" t="s">
        <v>2951</v>
      </c>
      <c r="B60" s="207" t="s">
        <v>3062</v>
      </c>
      <c r="C60" s="208" t="s">
        <v>95</v>
      </c>
      <c r="D60" s="207">
        <v>0.15</v>
      </c>
      <c r="E60" s="210">
        <v>0.52</v>
      </c>
      <c r="F60" s="211">
        <v>58364</v>
      </c>
      <c r="G60" s="211">
        <f>D60*(1+E60)*F60</f>
        <v>13306.991999999998</v>
      </c>
      <c r="H60" s="205" t="s">
        <v>2967</v>
      </c>
    </row>
    <row r="61" spans="1:8">
      <c r="A61" s="207" t="s">
        <v>2953</v>
      </c>
      <c r="B61" s="207" t="s">
        <v>3063</v>
      </c>
      <c r="C61" s="208" t="s">
        <v>95</v>
      </c>
      <c r="D61" s="207">
        <v>0.3</v>
      </c>
      <c r="E61" s="210">
        <v>0.52</v>
      </c>
      <c r="F61" s="211">
        <v>48500</v>
      </c>
      <c r="G61" s="211">
        <f>D61*(1+E61)*F61</f>
        <v>22115.999999999996</v>
      </c>
      <c r="H61" s="205" t="s">
        <v>2967</v>
      </c>
    </row>
    <row r="62" spans="1:8">
      <c r="A62" s="200" t="s">
        <v>3064</v>
      </c>
      <c r="B62" s="200" t="s">
        <v>3065</v>
      </c>
      <c r="C62" s="201" t="s">
        <v>98</v>
      </c>
      <c r="D62" s="200">
        <v>1.2</v>
      </c>
      <c r="E62" s="203">
        <v>0</v>
      </c>
      <c r="F62" s="204">
        <v>45000</v>
      </c>
      <c r="G62" s="204">
        <f>D62*(1+E62)*F62</f>
        <v>54000</v>
      </c>
      <c r="H62" s="205" t="s">
        <v>3066</v>
      </c>
    </row>
    <row r="63" spans="1:8">
      <c r="A63" s="213" t="s">
        <v>3067</v>
      </c>
      <c r="G63" s="215">
        <f>SUM(G60:G62)</f>
        <v>89422.991999999998</v>
      </c>
    </row>
    <row r="64" spans="1:8">
      <c r="A64" s="216" t="s">
        <v>2905</v>
      </c>
      <c r="G64" s="217">
        <f>G63*0.23</f>
        <v>20567.28816</v>
      </c>
    </row>
    <row r="65" spans="1:7">
      <c r="A65" s="275" t="s">
        <v>3068</v>
      </c>
      <c r="G65" s="278">
        <f>G63+G64</f>
        <v>109990.28015999999</v>
      </c>
    </row>
    <row r="67" spans="1:7">
      <c r="A67" s="279" t="s">
        <v>3069</v>
      </c>
      <c r="B67" s="280"/>
      <c r="C67" s="281" t="s">
        <v>2865</v>
      </c>
      <c r="D67" s="281" t="s">
        <v>2922</v>
      </c>
      <c r="E67" s="281" t="s">
        <v>2923</v>
      </c>
      <c r="F67" s="281" t="s">
        <v>2924</v>
      </c>
    </row>
    <row r="68" spans="1:7">
      <c r="A68" t="s">
        <v>2991</v>
      </c>
      <c r="B68" t="s">
        <v>3070</v>
      </c>
      <c r="C68" s="234" t="s">
        <v>38</v>
      </c>
      <c r="D68" s="282">
        <v>1249.5</v>
      </c>
      <c r="E68" s="206">
        <f>G22</f>
        <v>293662.15560000006</v>
      </c>
      <c r="F68" s="236">
        <f>D68*E68</f>
        <v>366930863.42220008</v>
      </c>
    </row>
    <row r="69" spans="1:7">
      <c r="A69" t="s">
        <v>3017</v>
      </c>
      <c r="B69" t="s">
        <v>3071</v>
      </c>
      <c r="C69" s="234" t="s">
        <v>44</v>
      </c>
      <c r="D69" s="235">
        <v>85</v>
      </c>
      <c r="E69" s="206">
        <f>G40</f>
        <v>2452251</v>
      </c>
      <c r="F69" s="236">
        <f>D69*E69</f>
        <v>208441335</v>
      </c>
    </row>
    <row r="70" spans="1:7">
      <c r="A70" t="s">
        <v>3038</v>
      </c>
      <c r="B70" t="s">
        <v>3072</v>
      </c>
      <c r="C70" s="234" t="s">
        <v>40</v>
      </c>
      <c r="D70" s="235">
        <v>1900</v>
      </c>
      <c r="E70" s="206">
        <f>G57</f>
        <v>199663.14775200002</v>
      </c>
      <c r="F70" s="236">
        <f>D70*E70</f>
        <v>379359980.72880006</v>
      </c>
    </row>
    <row r="71" spans="1:7">
      <c r="A71" t="s">
        <v>3059</v>
      </c>
      <c r="B71" t="s">
        <v>3073</v>
      </c>
      <c r="C71" s="234" t="s">
        <v>2943</v>
      </c>
      <c r="D71" s="235">
        <v>147</v>
      </c>
      <c r="E71" s="206">
        <f>G65</f>
        <v>109990.28015999999</v>
      </c>
      <c r="F71" s="236">
        <f>D71*E71</f>
        <v>16168571.183519999</v>
      </c>
    </row>
    <row r="72" spans="1:7" ht="15.6">
      <c r="A72" s="283" t="s">
        <v>3074</v>
      </c>
      <c r="B72" s="280"/>
      <c r="C72" s="280"/>
      <c r="D72" s="280"/>
      <c r="E72" s="280"/>
      <c r="F72" s="284">
        <f>F68+F69+F70+F71</f>
        <v>970900750.3345201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9AC85-9999-4359-84F0-A2075ABCC92B}">
  <dimension ref="A1:G43"/>
  <sheetViews>
    <sheetView workbookViewId="0">
      <pane ySplit="5" topLeftCell="A6" activePane="bottomLeft" state="frozen"/>
      <selection pane="bottomLeft"/>
    </sheetView>
  </sheetViews>
  <sheetFormatPr baseColWidth="10" defaultRowHeight="14.4"/>
  <cols>
    <col min="1" max="1" width="15.77734375" customWidth="1"/>
    <col min="2" max="2" width="77.77734375" customWidth="1"/>
    <col min="3" max="3" width="10.21875" customWidth="1"/>
    <col min="4" max="4" width="12" customWidth="1"/>
    <col min="5" max="5" width="13.88671875" customWidth="1"/>
    <col min="6" max="7" width="18.5546875" customWidth="1"/>
    <col min="8" max="8" width="40.77734375" customWidth="1"/>
  </cols>
  <sheetData>
    <row r="1" spans="1:7" ht="18">
      <c r="A1" s="285" t="s">
        <v>3155</v>
      </c>
    </row>
    <row r="2" spans="1:7">
      <c r="A2" s="286" t="s">
        <v>3075</v>
      </c>
    </row>
    <row r="3" spans="1:7">
      <c r="A3" s="287" t="s">
        <v>3076</v>
      </c>
    </row>
    <row r="5" spans="1:7">
      <c r="A5" s="289" t="s">
        <v>3077</v>
      </c>
      <c r="B5" s="288" t="s">
        <v>3078</v>
      </c>
      <c r="C5" s="289" t="s">
        <v>2865</v>
      </c>
      <c r="D5" s="289" t="s">
        <v>2866</v>
      </c>
      <c r="E5" s="289" t="s">
        <v>2923</v>
      </c>
      <c r="F5" s="289" t="s">
        <v>2924</v>
      </c>
      <c r="G5" s="289" t="s">
        <v>3079</v>
      </c>
    </row>
    <row r="7" spans="1:7">
      <c r="A7" s="356" t="s">
        <v>3156</v>
      </c>
      <c r="B7" s="356" t="s">
        <v>3157</v>
      </c>
      <c r="C7" s="349"/>
      <c r="D7" s="349"/>
      <c r="E7" s="349"/>
      <c r="F7" s="349"/>
      <c r="G7" s="349"/>
    </row>
    <row r="8" spans="1:7">
      <c r="A8" s="309" t="s">
        <v>3158</v>
      </c>
      <c r="B8" s="309" t="s">
        <v>3159</v>
      </c>
      <c r="C8" s="315" t="s">
        <v>2881</v>
      </c>
      <c r="D8" s="327">
        <v>1</v>
      </c>
      <c r="E8" s="357">
        <f>APU_F0!G85</f>
        <v>142050011.078796</v>
      </c>
      <c r="F8" s="351">
        <f>D8*E8</f>
        <v>142050011.078796</v>
      </c>
    </row>
    <row r="9" spans="1:7">
      <c r="A9" s="358" t="s">
        <v>3160</v>
      </c>
      <c r="B9" s="312"/>
      <c r="C9" s="312"/>
      <c r="D9" s="312"/>
      <c r="E9" s="312"/>
      <c r="F9" s="359">
        <f>F8</f>
        <v>142050011.078796</v>
      </c>
    </row>
    <row r="10" spans="1:7">
      <c r="A10" s="196" t="s">
        <v>3080</v>
      </c>
      <c r="B10" s="196" t="s">
        <v>3081</v>
      </c>
    </row>
    <row r="11" spans="1:7">
      <c r="A11" t="s">
        <v>2871</v>
      </c>
      <c r="B11" t="s">
        <v>2925</v>
      </c>
      <c r="C11" s="234" t="s">
        <v>40</v>
      </c>
      <c r="D11" s="235">
        <v>2200</v>
      </c>
      <c r="E11" s="206">
        <f>APU_F1!G20</f>
        <v>19631.208360000001</v>
      </c>
      <c r="F11" s="236">
        <f>D11*E11</f>
        <v>43188658.392000005</v>
      </c>
    </row>
    <row r="12" spans="1:7">
      <c r="A12" t="s">
        <v>2893</v>
      </c>
      <c r="B12" t="s">
        <v>3082</v>
      </c>
      <c r="C12" s="234" t="s">
        <v>44</v>
      </c>
      <c r="D12" s="235">
        <v>1650</v>
      </c>
      <c r="E12" s="206">
        <f>APU_F1!G32</f>
        <v>28896.404484480001</v>
      </c>
      <c r="F12" s="236">
        <f>D12*E12</f>
        <v>47679067.399392001</v>
      </c>
    </row>
    <row r="13" spans="1:7">
      <c r="A13" t="s">
        <v>2907</v>
      </c>
      <c r="B13" t="s">
        <v>3083</v>
      </c>
      <c r="C13" s="234" t="s">
        <v>38</v>
      </c>
      <c r="D13" s="235">
        <v>1764</v>
      </c>
      <c r="E13" s="206">
        <f>APU_F1!G44</f>
        <v>152662.63079999998</v>
      </c>
      <c r="F13" s="236">
        <f>D13*E13</f>
        <v>269296880.73119998</v>
      </c>
    </row>
    <row r="14" spans="1:7">
      <c r="A14" s="216" t="s">
        <v>2930</v>
      </c>
      <c r="B14" s="290"/>
      <c r="C14" s="290"/>
      <c r="D14" s="290"/>
      <c r="E14" s="290"/>
      <c r="F14" s="217">
        <f>APU_F1!F51</f>
        <v>360164606.52259195</v>
      </c>
      <c r="G14" s="291">
        <f>F14/F43</f>
        <v>0.24350145092537656</v>
      </c>
    </row>
    <row r="16" spans="1:7">
      <c r="A16" s="292" t="s">
        <v>3084</v>
      </c>
      <c r="B16" s="292" t="s">
        <v>3085</v>
      </c>
    </row>
    <row r="17" spans="1:7">
      <c r="A17" t="s">
        <v>2934</v>
      </c>
      <c r="B17" t="s">
        <v>3086</v>
      </c>
      <c r="C17" s="234" t="s">
        <v>2881</v>
      </c>
      <c r="D17">
        <v>1</v>
      </c>
      <c r="E17" s="206">
        <f>APU_F2!G18</f>
        <v>1611527.55</v>
      </c>
      <c r="F17" s="236">
        <f>D17*E17</f>
        <v>1611527.55</v>
      </c>
    </row>
    <row r="18" spans="1:7">
      <c r="A18" t="s">
        <v>2957</v>
      </c>
      <c r="B18" t="s">
        <v>3087</v>
      </c>
      <c r="C18" s="234" t="s">
        <v>2881</v>
      </c>
      <c r="D18">
        <v>1</v>
      </c>
      <c r="E18" s="206">
        <f>APU_F2!G31</f>
        <v>2006843.4</v>
      </c>
      <c r="F18" s="236">
        <f>D18*E18</f>
        <v>2006843.4</v>
      </c>
    </row>
    <row r="19" spans="1:7">
      <c r="A19" t="s">
        <v>2970</v>
      </c>
      <c r="B19" t="s">
        <v>3088</v>
      </c>
      <c r="C19" s="234" t="s">
        <v>2881</v>
      </c>
      <c r="D19">
        <v>1</v>
      </c>
      <c r="E19" s="206">
        <f>APU_F2!G41</f>
        <v>2372874.8688000003</v>
      </c>
      <c r="F19" s="236">
        <f>D19*E19</f>
        <v>2372874.8688000003</v>
      </c>
    </row>
    <row r="20" spans="1:7">
      <c r="A20" s="293" t="s">
        <v>2987</v>
      </c>
      <c r="B20" s="294"/>
      <c r="C20" s="294"/>
      <c r="D20" s="294"/>
      <c r="E20" s="294"/>
      <c r="F20" s="295">
        <f>APU_F2!F47</f>
        <v>5991245.8188000005</v>
      </c>
      <c r="G20" s="296">
        <f>F20/F43</f>
        <v>4.0505841587654317E-3</v>
      </c>
    </row>
    <row r="22" spans="1:7">
      <c r="A22" s="279" t="s">
        <v>3089</v>
      </c>
      <c r="B22" s="279" t="s">
        <v>3090</v>
      </c>
    </row>
    <row r="23" spans="1:7">
      <c r="A23" t="s">
        <v>2991</v>
      </c>
      <c r="B23" t="s">
        <v>3091</v>
      </c>
      <c r="C23" s="234" t="s">
        <v>38</v>
      </c>
      <c r="D23" s="282">
        <v>1249.5</v>
      </c>
      <c r="E23" s="206">
        <f>APU_F3!G22</f>
        <v>293662.15560000006</v>
      </c>
      <c r="F23" s="236">
        <f>D23*E23</f>
        <v>366930863.42220008</v>
      </c>
    </row>
    <row r="24" spans="1:7">
      <c r="A24" t="s">
        <v>3017</v>
      </c>
      <c r="B24" t="s">
        <v>3092</v>
      </c>
      <c r="C24" s="234" t="s">
        <v>44</v>
      </c>
      <c r="D24" s="235">
        <v>85</v>
      </c>
      <c r="E24" s="206">
        <f>APU_F3!G40</f>
        <v>2452251</v>
      </c>
      <c r="F24" s="236">
        <f>D24*E24</f>
        <v>208441335</v>
      </c>
    </row>
    <row r="25" spans="1:7">
      <c r="A25" t="s">
        <v>3038</v>
      </c>
      <c r="B25" t="s">
        <v>3072</v>
      </c>
      <c r="C25" s="234" t="s">
        <v>40</v>
      </c>
      <c r="D25" s="235">
        <v>1900</v>
      </c>
      <c r="E25" s="206">
        <f>APU_F3!G57</f>
        <v>199663.14775200002</v>
      </c>
      <c r="F25" s="236">
        <f>D25*E25</f>
        <v>379359980.72880006</v>
      </c>
    </row>
    <row r="26" spans="1:7">
      <c r="A26" t="s">
        <v>3059</v>
      </c>
      <c r="B26" t="s">
        <v>3093</v>
      </c>
      <c r="C26" s="234" t="s">
        <v>2943</v>
      </c>
      <c r="D26">
        <v>147</v>
      </c>
      <c r="E26" s="206">
        <f>APU_F3!G65</f>
        <v>109990.28015999999</v>
      </c>
      <c r="F26" s="236">
        <f>D26*E26</f>
        <v>16168571.183519999</v>
      </c>
    </row>
    <row r="27" spans="1:7">
      <c r="A27" s="297" t="s">
        <v>3074</v>
      </c>
      <c r="B27" s="298"/>
      <c r="C27" s="298"/>
      <c r="D27" s="298"/>
      <c r="E27" s="298"/>
      <c r="F27" s="299">
        <f>APU_F3!F72</f>
        <v>970900750.3345201</v>
      </c>
      <c r="G27" s="300">
        <f>F27/F43</f>
        <v>0.65641025555953081</v>
      </c>
    </row>
    <row r="29" spans="1:7" ht="17.399999999999999">
      <c r="A29" s="301" t="s">
        <v>3161</v>
      </c>
      <c r="B29" s="232"/>
      <c r="C29" s="232"/>
      <c r="D29" s="232"/>
      <c r="E29" s="232"/>
      <c r="F29" s="360">
        <f>F9+F14+F20+F27</f>
        <v>1479106613.7547081</v>
      </c>
      <c r="G29" s="361" t="s">
        <v>3162</v>
      </c>
    </row>
    <row r="31" spans="1:7">
      <c r="A31" s="302" t="s">
        <v>3094</v>
      </c>
    </row>
    <row r="32" spans="1:7">
      <c r="A32" s="302" t="s">
        <v>3095</v>
      </c>
    </row>
    <row r="34" spans="1:6">
      <c r="A34" s="199" t="s">
        <v>3096</v>
      </c>
    </row>
    <row r="35" spans="1:6">
      <c r="A35" s="303" t="s">
        <v>3097</v>
      </c>
    </row>
    <row r="36" spans="1:6">
      <c r="A36" s="191" t="s">
        <v>3098</v>
      </c>
    </row>
    <row r="37" spans="1:6">
      <c r="A37" s="191" t="s">
        <v>3099</v>
      </c>
    </row>
    <row r="38" spans="1:6">
      <c r="A38" s="191" t="s">
        <v>3100</v>
      </c>
    </row>
    <row r="39" spans="1:6">
      <c r="A39" s="304" t="s">
        <v>3101</v>
      </c>
    </row>
    <row r="40" spans="1:6">
      <c r="A40" s="305" t="s">
        <v>3102</v>
      </c>
    </row>
    <row r="41" spans="1:6">
      <c r="A41" s="305" t="s">
        <v>3103</v>
      </c>
    </row>
    <row r="43" spans="1:6">
      <c r="F43" s="206">
        <f>F29</f>
        <v>1479106613.7547081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showGridLines="0" workbookViewId="0">
      <pane ySplit="3" topLeftCell="A4" activePane="bottomLeft" state="frozen"/>
      <selection pane="bottomLeft" sqref="A1:H1"/>
    </sheetView>
  </sheetViews>
  <sheetFormatPr baseColWidth="10" defaultColWidth="8.88671875" defaultRowHeight="14.4"/>
  <cols>
    <col min="1" max="1" width="12" customWidth="1"/>
    <col min="2" max="2" width="36" customWidth="1"/>
    <col min="3" max="3" width="16" customWidth="1"/>
    <col min="4" max="4" width="8" customWidth="1"/>
    <col min="5" max="6" width="16" customWidth="1"/>
    <col min="7" max="7" width="18" customWidth="1"/>
    <col min="8" max="8" width="14" customWidth="1"/>
  </cols>
  <sheetData>
    <row r="1" spans="1:8" ht="23.4">
      <c r="A1" s="375" t="s">
        <v>109</v>
      </c>
      <c r="B1" s="371"/>
      <c r="C1" s="371"/>
      <c r="D1" s="371"/>
      <c r="E1" s="371"/>
      <c r="F1" s="371"/>
      <c r="G1" s="371"/>
      <c r="H1" s="371"/>
    </row>
    <row r="2" spans="1:8">
      <c r="A2" s="376" t="s">
        <v>110</v>
      </c>
      <c r="B2" s="371"/>
      <c r="C2" s="371"/>
      <c r="D2" s="371"/>
      <c r="E2" s="371"/>
      <c r="F2" s="371"/>
      <c r="G2" s="371"/>
      <c r="H2" s="371"/>
    </row>
    <row r="3" spans="1:8" ht="24" customHeight="1">
      <c r="A3" s="11" t="s">
        <v>28</v>
      </c>
      <c r="B3" s="11" t="s">
        <v>29</v>
      </c>
      <c r="C3" s="11" t="s">
        <v>111</v>
      </c>
      <c r="D3" s="11" t="s">
        <v>112</v>
      </c>
      <c r="E3" s="11" t="s">
        <v>113</v>
      </c>
      <c r="F3" s="11" t="s">
        <v>114</v>
      </c>
      <c r="G3" s="11" t="s">
        <v>115</v>
      </c>
      <c r="H3" s="11" t="s">
        <v>116</v>
      </c>
    </row>
    <row r="4" spans="1:8">
      <c r="A4" s="44" t="s">
        <v>117</v>
      </c>
      <c r="B4" s="32" t="s">
        <v>118</v>
      </c>
      <c r="C4" s="45" t="s">
        <v>47</v>
      </c>
      <c r="D4" s="19" t="s">
        <v>119</v>
      </c>
      <c r="E4" s="21">
        <v>28000000</v>
      </c>
      <c r="F4" s="46">
        <v>0</v>
      </c>
      <c r="G4" s="18" t="s">
        <v>120</v>
      </c>
      <c r="H4" s="19" t="s">
        <v>121</v>
      </c>
    </row>
    <row r="5" spans="1:8">
      <c r="A5" s="44" t="s">
        <v>122</v>
      </c>
      <c r="B5" s="32" t="s">
        <v>123</v>
      </c>
      <c r="C5" s="45" t="s">
        <v>45</v>
      </c>
      <c r="D5" s="19" t="s">
        <v>124</v>
      </c>
      <c r="E5" s="21">
        <v>14000000</v>
      </c>
      <c r="F5" s="46">
        <v>3</v>
      </c>
      <c r="G5" s="18" t="s">
        <v>125</v>
      </c>
      <c r="H5" s="19" t="s">
        <v>126</v>
      </c>
    </row>
    <row r="6" spans="1:8">
      <c r="A6" s="44" t="s">
        <v>127</v>
      </c>
      <c r="B6" s="32" t="s">
        <v>128</v>
      </c>
      <c r="C6" s="45" t="s">
        <v>49</v>
      </c>
      <c r="D6" s="19" t="s">
        <v>119</v>
      </c>
      <c r="E6" s="21">
        <v>8000000</v>
      </c>
      <c r="F6" s="46">
        <v>2</v>
      </c>
      <c r="G6" s="18" t="s">
        <v>120</v>
      </c>
      <c r="H6" s="19" t="s">
        <v>129</v>
      </c>
    </row>
    <row r="8" spans="1:8">
      <c r="A8" s="47" t="s">
        <v>71</v>
      </c>
      <c r="B8" s="48" t="s">
        <v>130</v>
      </c>
      <c r="C8" s="49"/>
      <c r="D8" s="49"/>
      <c r="E8" s="50">
        <f>SUM(E4:E7)</f>
        <v>50000000</v>
      </c>
      <c r="F8" s="51">
        <f>SUM(F4:F7)</f>
        <v>5</v>
      </c>
      <c r="G8" s="49"/>
      <c r="H8" s="49"/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2"/>
  <sheetViews>
    <sheetView showGridLines="0" workbookViewId="0">
      <selection activeCell="C5" sqref="C5"/>
    </sheetView>
  </sheetViews>
  <sheetFormatPr baseColWidth="10" defaultColWidth="8.88671875" defaultRowHeight="14.4"/>
  <cols>
    <col min="1" max="1" width="4" customWidth="1"/>
    <col min="2" max="2" width="36" customWidth="1"/>
    <col min="3" max="3" width="20" customWidth="1"/>
    <col min="4" max="4" width="30" customWidth="1"/>
  </cols>
  <sheetData>
    <row r="1" spans="1:6" ht="23.4">
      <c r="A1" s="375" t="s">
        <v>131</v>
      </c>
      <c r="B1" s="371"/>
      <c r="C1" s="371"/>
      <c r="D1" s="371"/>
      <c r="E1" s="371"/>
      <c r="F1" s="371"/>
    </row>
    <row r="2" spans="1:6">
      <c r="A2" s="376" t="s">
        <v>132</v>
      </c>
      <c r="B2" s="371"/>
      <c r="C2" s="371"/>
      <c r="D2" s="371"/>
      <c r="E2" s="371"/>
      <c r="F2" s="371"/>
    </row>
    <row r="5" spans="1:6">
      <c r="B5" s="39" t="s">
        <v>133</v>
      </c>
      <c r="C5" s="52">
        <f>EDT!G29</f>
        <v>2889163638.1466856</v>
      </c>
      <c r="D5" s="53" t="s">
        <v>134</v>
      </c>
    </row>
    <row r="6" spans="1:6">
      <c r="B6" s="39" t="s">
        <v>20</v>
      </c>
      <c r="C6" s="52">
        <f>EDT!G29*0.26</f>
        <v>751182545.91813827</v>
      </c>
      <c r="D6" s="53" t="s">
        <v>135</v>
      </c>
    </row>
    <row r="7" spans="1:6">
      <c r="B7" s="39" t="s">
        <v>136</v>
      </c>
      <c r="C7" s="52">
        <f>EDT!H29</f>
        <v>1237000000</v>
      </c>
      <c r="D7" s="53" t="s">
        <v>137</v>
      </c>
    </row>
    <row r="8" spans="1:6">
      <c r="B8" s="39" t="s">
        <v>138</v>
      </c>
      <c r="C8" s="52">
        <f>OrdenesCambio!E8</f>
        <v>50000000</v>
      </c>
      <c r="D8" s="53" t="s">
        <v>139</v>
      </c>
    </row>
    <row r="9" spans="1:6">
      <c r="B9" s="40" t="s">
        <v>23</v>
      </c>
      <c r="C9" s="43">
        <f>C7+C8-C5</f>
        <v>-1602163638.1466856</v>
      </c>
      <c r="D9" s="54" t="s">
        <v>140</v>
      </c>
    </row>
    <row r="11" spans="1:6">
      <c r="B11" s="39" t="s">
        <v>141</v>
      </c>
      <c r="C11" s="52">
        <f>EDT!G29*0.09</f>
        <v>260024727.4332017</v>
      </c>
      <c r="D11" s="53" t="s">
        <v>142</v>
      </c>
    </row>
    <row r="12" spans="1:6">
      <c r="B12" s="39" t="s">
        <v>143</v>
      </c>
      <c r="C12" s="52">
        <f>C7*0.91</f>
        <v>1125670000</v>
      </c>
      <c r="D12" s="53" t="s">
        <v>144</v>
      </c>
    </row>
    <row r="13" spans="1:6">
      <c r="B13" s="39" t="s">
        <v>145</v>
      </c>
      <c r="C13" s="52">
        <f>C7</f>
        <v>1237000000</v>
      </c>
      <c r="D13" s="53" t="s">
        <v>146</v>
      </c>
    </row>
    <row r="14" spans="1:6">
      <c r="B14" s="40" t="s">
        <v>147</v>
      </c>
      <c r="C14" s="55">
        <f>IFERROR(C12/C13,0)</f>
        <v>0.91</v>
      </c>
      <c r="D14" s="54" t="s">
        <v>148</v>
      </c>
    </row>
    <row r="15" spans="1:6">
      <c r="B15" s="40" t="s">
        <v>149</v>
      </c>
      <c r="C15" s="43">
        <f>IFERROR(C5/C14,0)</f>
        <v>3174905096.8644896</v>
      </c>
      <c r="D15" s="54" t="s">
        <v>150</v>
      </c>
    </row>
    <row r="16" spans="1:6">
      <c r="B16" s="39" t="s">
        <v>151</v>
      </c>
      <c r="C16" s="52">
        <f>C5-C15</f>
        <v>-285741458.71780396</v>
      </c>
      <c r="D16" s="53" t="s">
        <v>152</v>
      </c>
    </row>
    <row r="17" spans="2:5">
      <c r="B17" s="39" t="s">
        <v>153</v>
      </c>
      <c r="C17" s="56">
        <f>IFERROR(C12/C11,0)</f>
        <v>4.329088279841292</v>
      </c>
      <c r="D17" s="53" t="s">
        <v>154</v>
      </c>
    </row>
    <row r="20" spans="2:5">
      <c r="B20" s="57" t="s">
        <v>155</v>
      </c>
    </row>
    <row r="21" spans="2:5">
      <c r="B21" s="380" t="str">
        <f>IF(C14&lt;1,"⚠ CPI &lt; 1.00 — el proyecto está gastando más de lo presupuestado. ","✓ CPI ≥ 1.00 — el proyecto está dentro o por debajo del presupuesto. ")&amp;"Proyección EAC: "&amp;TEXT(C15,"$#,##0")&amp;". "&amp;IF(C9&gt;0,"Hay "&amp;TEXT(C9,"$#,##0")&amp;" en órdenes de cambio acumuladas.","Sin órdenes de cambio.")</f>
        <v>⚠ CPI &lt; 1.00 — el proyecto está gastando más de lo presupuestado. Proyección EAC: $3,174,905,097. Sin órdenes de cambio.</v>
      </c>
      <c r="C21" s="381"/>
      <c r="D21" s="381"/>
      <c r="E21" s="381"/>
    </row>
    <row r="22" spans="2:5">
      <c r="B22" s="371"/>
      <c r="C22" s="371"/>
      <c r="D22" s="371"/>
      <c r="E22" s="371"/>
    </row>
  </sheetData>
  <mergeCells count="3">
    <mergeCell ref="B21:E22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PORTADA</vt:lpstr>
      <vt:lpstr>PROCESO DETALLADO</vt:lpstr>
      <vt:lpstr>EDT</vt:lpstr>
      <vt:lpstr>APU</vt:lpstr>
      <vt:lpstr>APU_F0</vt:lpstr>
      <vt:lpstr>APU_F1</vt:lpstr>
      <vt:lpstr>APU_F2</vt:lpstr>
      <vt:lpstr>APU_F3</vt:lpstr>
      <vt:lpstr>RESUMEN_APU</vt:lpstr>
      <vt:lpstr>OrdenesCambio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Angel salazar</cp:lastModifiedBy>
  <dcterms:created xsi:type="dcterms:W3CDTF">2026-06-04T12:49:04Z</dcterms:created>
  <dcterms:modified xsi:type="dcterms:W3CDTF">2026-06-05T02:45:15Z</dcterms:modified>
</cp:coreProperties>
</file>