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EDT" sheetId="2" state="visible" r:id="rId2"/>
    <sheet xmlns:r="http://schemas.openxmlformats.org/officeDocument/2006/relationships" name="APU" sheetId="3" state="visible" r:id="rId3"/>
    <sheet xmlns:r="http://schemas.openxmlformats.org/officeDocument/2006/relationships" name="OrdenesCambio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[Red]($#,##0);-"/>
    <numFmt numFmtId="165" formatCode="0.0%;[Red](0.0%);-"/>
    <numFmt numFmtId="166" formatCode="#,##0;[Red](#,##0);-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94A3B8"/>
      <sz val="14"/>
    </font>
    <font>
      <name val="Calibri"/>
      <i val="1"/>
      <color rgb="008B5CF6"/>
      <sz val="11"/>
    </font>
    <font>
      <name val="Calibri"/>
      <b val="1"/>
      <color rgb="001E293B"/>
      <sz val="11"/>
    </font>
    <font>
      <name val="Calibri"/>
      <b val="1"/>
      <color rgb="001E293B"/>
      <sz val="10"/>
    </font>
    <font>
      <name val="Calibri"/>
      <color rgb="000000FF"/>
      <sz val="10"/>
    </font>
    <font>
      <name val="Calibri"/>
      <b val="1"/>
      <color rgb="0064748B"/>
      <sz val="9"/>
    </font>
    <font>
      <name val="Calibri"/>
      <b val="1"/>
      <color rgb="00008000"/>
      <sz val="10"/>
    </font>
    <font>
      <name val="Calibri"/>
      <i val="1"/>
      <color rgb="0064748B"/>
      <sz val="9"/>
    </font>
    <font>
      <name val="Calibri"/>
      <b val="1"/>
      <color rgb="001E293B"/>
      <sz val="18"/>
    </font>
    <font>
      <name val="Calibri"/>
      <i val="1"/>
      <color rgb="0064748B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1D4ED8"/>
      <sz val="10"/>
    </font>
    <font>
      <name val="Calibri"/>
      <i val="1"/>
      <color rgb="0064748B"/>
      <sz val="10"/>
    </font>
    <font>
      <name val="Calibri"/>
      <color rgb="001E293B"/>
      <sz val="10"/>
    </font>
    <font>
      <name val="Calibri"/>
      <b val="1"/>
      <color rgb="008B5CF6"/>
      <sz val="9"/>
    </font>
    <font>
      <name val="Calibri"/>
      <b val="1"/>
      <color rgb="00B45309"/>
      <sz val="12"/>
    </font>
    <font>
      <name val="Calibri"/>
      <b val="1"/>
      <color rgb="008B5CF6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15803D"/>
      <sz val="11"/>
    </font>
    <font>
      <name val="Consolas"/>
      <b val="1"/>
      <color rgb="001D4ED8"/>
      <sz val="10"/>
    </font>
    <font>
      <name val="Consolas"/>
      <color rgb="0064748B"/>
      <sz val="10"/>
    </font>
    <font>
      <name val="Calibri"/>
      <b val="1"/>
      <sz val="11"/>
    </font>
    <font>
      <name val="Calibri"/>
      <b val="1"/>
      <color rgb="00B91C1C"/>
      <sz val="11"/>
    </font>
    <font>
      <name val="Calibri"/>
      <b val="1"/>
      <color rgb="006D28D9"/>
      <sz val="11"/>
    </font>
    <font>
      <name val="Calibri"/>
      <i val="1"/>
      <color rgb="001E293B"/>
      <sz val="10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E293B"/>
      </patternFill>
    </fill>
    <fill>
      <patternFill patternType="solid">
        <fgColor rgb="00E0E7FF"/>
      </patternFill>
    </fill>
    <fill>
      <patternFill patternType="solid">
        <fgColor rgb="00EEEAFE"/>
      </patternFill>
    </fill>
    <fill>
      <patternFill patternType="solid">
        <fgColor rgb="00FEF3C7"/>
      </patternFill>
    </fill>
    <fill>
      <patternFill patternType="solid">
        <fgColor rgb="00F5F7FA"/>
      </patternFill>
    </fill>
    <fill>
      <patternFill patternType="solid">
        <fgColor rgb="00F5F3FF"/>
      </patternFill>
    </fill>
  </fills>
  <borders count="4">
    <border>
      <left/>
      <right/>
      <top/>
      <bottom/>
      <diagonal/>
    </border>
    <border>
      <bottom style="medium">
        <color rgb="001E293B"/>
      </bottom>
    </border>
    <border>
      <left style="thin">
        <color rgb="00D1DBE8"/>
      </left>
      <right style="thin">
        <color rgb="00D1DBE8"/>
      </right>
      <top style="thin">
        <color rgb="00D1DBE8"/>
      </top>
      <bottom style="thin">
        <color rgb="00D1DBE8"/>
      </bottom>
    </border>
    <border>
      <top style="medium">
        <color rgb="001E293B"/>
      </top>
      <bottom style="medium">
        <color rgb="001E293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3" borderId="2" applyAlignment="1" pivotButton="0" quotePrefix="0" xfId="0">
      <alignment horizontal="center" vertical="center" wrapText="1"/>
    </xf>
    <xf numFmtId="0" fontId="5" fillId="4" borderId="2" pivotButton="0" quotePrefix="0" xfId="0"/>
    <xf numFmtId="0" fontId="0" fillId="4" borderId="2" pivotButton="0" quotePrefix="0" xfId="0"/>
    <xf numFmtId="164" fontId="14" fillId="4" borderId="2" pivotButton="0" quotePrefix="0" xfId="0"/>
    <xf numFmtId="165" fontId="5" fillId="4" borderId="2" pivotButton="0" quotePrefix="0" xfId="0"/>
    <xf numFmtId="0" fontId="15" fillId="0" borderId="2" pivotButton="0" quotePrefix="0" xfId="0"/>
    <xf numFmtId="0" fontId="16" fillId="0" borderId="2" applyAlignment="1" pivotButton="0" quotePrefix="0" xfId="0">
      <alignment vertical="center" indent="2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166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5" fontId="13" fillId="0" borderId="2" applyAlignment="1" pivotButton="0" quotePrefix="0" xfId="0">
      <alignment horizontal="right" vertical="center"/>
    </xf>
    <xf numFmtId="0" fontId="17" fillId="5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left" vertical="center"/>
    </xf>
    <xf numFmtId="0" fontId="0" fillId="6" borderId="3" applyAlignment="1" pivotButton="0" quotePrefix="0" xfId="0">
      <alignment horizontal="left" vertical="center"/>
    </xf>
    <xf numFmtId="0" fontId="0" fillId="6" borderId="3" applyAlignment="1" pivotButton="0" quotePrefix="0" xfId="0">
      <alignment horizontal="right" vertical="center"/>
    </xf>
    <xf numFmtId="164" fontId="18" fillId="6" borderId="3" applyAlignment="1" pivotButton="0" quotePrefix="0" xfId="0">
      <alignment horizontal="right" vertical="center"/>
    </xf>
    <xf numFmtId="165" fontId="18" fillId="6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12" fillId="3" borderId="0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 wrapText="1"/>
    </xf>
    <xf numFmtId="0" fontId="16" fillId="0" borderId="2" pivotButton="0" quotePrefix="0" xfId="0"/>
    <xf numFmtId="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20" fillId="7" borderId="2" pivotButton="0" quotePrefix="0" xfId="0"/>
    <xf numFmtId="0" fontId="0" fillId="7" borderId="2" pivotButton="0" quotePrefix="0" xfId="0"/>
    <xf numFmtId="164" fontId="14" fillId="7" borderId="2" applyAlignment="1" pivotButton="0" quotePrefix="0" xfId="0">
      <alignment horizontal="right" vertical="center"/>
    </xf>
    <xf numFmtId="164" fontId="21" fillId="7" borderId="2" applyAlignment="1" pivotButton="0" quotePrefix="0" xfId="0">
      <alignment horizontal="right" vertical="center"/>
    </xf>
    <xf numFmtId="0" fontId="5" fillId="0" borderId="2" pivotButton="0" quotePrefix="0" xfId="0"/>
    <xf numFmtId="0" fontId="5" fillId="6" borderId="2" pivotButton="0" quotePrefix="0" xfId="0"/>
    <xf numFmtId="0" fontId="0" fillId="6" borderId="2" pivotButton="0" quotePrefix="0" xfId="0"/>
    <xf numFmtId="164" fontId="22" fillId="6" borderId="2" applyAlignment="1" pivotButton="0" quotePrefix="0" xfId="0">
      <alignment horizontal="right" vertical="center"/>
    </xf>
    <xf numFmtId="164" fontId="8" fillId="6" borderId="2" applyAlignment="1" pivotButton="0" quotePrefix="0" xfId="0">
      <alignment horizontal="right" vertical="center"/>
    </xf>
    <xf numFmtId="0" fontId="23" fillId="0" borderId="2" pivotButton="0" quotePrefix="0" xfId="0"/>
    <xf numFmtId="0" fontId="24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right" vertical="center"/>
    </xf>
    <xf numFmtId="0" fontId="25" fillId="6" borderId="3" pivotButton="0" quotePrefix="0" xfId="0"/>
    <xf numFmtId="0" fontId="20" fillId="6" borderId="3" pivotButton="0" quotePrefix="0" xfId="0"/>
    <xf numFmtId="0" fontId="0" fillId="6" borderId="3" pivotButton="0" quotePrefix="0" xfId="0"/>
    <xf numFmtId="164" fontId="26" fillId="6" borderId="3" applyAlignment="1" pivotButton="0" quotePrefix="0" xfId="0">
      <alignment horizontal="right" vertical="center"/>
    </xf>
    <xf numFmtId="0" fontId="4" fillId="6" borderId="3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0" fontId="9" fillId="0" borderId="2" pivotButton="0" quotePrefix="0" xfId="0"/>
    <xf numFmtId="0" fontId="9" fillId="6" borderId="2" pivotButton="0" quotePrefix="0" xfId="0"/>
    <xf numFmtId="2" fontId="8" fillId="6" borderId="2" applyAlignment="1" pivotButton="0" quotePrefix="0" xfId="0">
      <alignment horizontal="right" vertical="center"/>
    </xf>
    <xf numFmtId="2" fontId="8" fillId="0" borderId="2" applyAlignment="1" pivotButton="0" quotePrefix="0" xfId="0">
      <alignment horizontal="right" vertical="center"/>
    </xf>
    <xf numFmtId="0" fontId="27" fillId="0" borderId="1" pivotButton="0" quotePrefix="0" xfId="0"/>
    <xf numFmtId="0" fontId="28" fillId="8" borderId="2" applyAlignment="1" pivotButton="0" quotePrefix="0" xfId="0">
      <alignment horizontal="left" vertical="top" wrapText="1"/>
    </xf>
    <xf numFmtId="0" fontId="0" fillId="8" borderId="2" pivotButton="0" quotePrefix="0" xfId="0"/>
  </cellXfs>
  <cellStyles count="1">
    <cellStyle name="Normal" xfId="0" builtinId="0" hidden="0"/>
  </cellStyles>
  <dxfs count="2">
    <dxf>
      <font>
        <name val="Calibri"/>
        <b val="1"/>
        <color rgb="00B91C1C"/>
        <sz val="10"/>
      </font>
      <fill>
        <patternFill patternType="solid">
          <fgColor rgb="00FEE2E2"/>
        </patternFill>
      </fill>
    </dxf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2" t="inlineStr">
        <is>
          <t>PRESUPUESTO DE OBRA BIM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3" t="inlineStr">
        <is>
          <t>Torre Santa Isabel · CVA Constructora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t>Vinculado al modelo IFC · 186 partidas BIM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10">
      <c r="B10" s="5" t="inlineStr">
        <is>
          <t>DATOS DEL PROYECTO</t>
        </is>
      </c>
    </row>
    <row r="12">
      <c r="B12" s="6" t="inlineStr">
        <is>
          <t>Proyecto</t>
        </is>
      </c>
      <c r="C12" s="7" t="inlineStr">
        <is>
          <t>Torre Santa Isabel</t>
        </is>
      </c>
    </row>
    <row r="13">
      <c r="B13" s="6" t="inlineStr">
        <is>
          <t>Contratista</t>
        </is>
      </c>
      <c r="C13" s="7" t="inlineStr">
        <is>
          <t>CVA Constructora</t>
        </is>
      </c>
    </row>
    <row r="14">
      <c r="B14" s="6" t="inlineStr">
        <is>
          <t>Director de obra</t>
        </is>
      </c>
      <c r="C14" s="7" t="inlineStr">
        <is>
          <t>Miguel Salazar</t>
        </is>
      </c>
    </row>
    <row r="15">
      <c r="B15" s="6" t="inlineStr">
        <is>
          <t>Fecha base</t>
        </is>
      </c>
      <c r="C15" s="7" t="inlineStr">
        <is>
          <t>01/May/2026</t>
        </is>
      </c>
    </row>
    <row r="16">
      <c r="B16" s="6" t="inlineStr">
        <is>
          <t>Fecha fin proyecto</t>
        </is>
      </c>
      <c r="C16" s="7" t="inlineStr">
        <is>
          <t>16/Feb/2028</t>
        </is>
      </c>
    </row>
    <row r="17">
      <c r="B17" s="6" t="inlineStr">
        <is>
          <t>Plazo total (días)</t>
        </is>
      </c>
      <c r="C17" s="7" t="n">
        <v>656</v>
      </c>
    </row>
    <row r="18">
      <c r="B18" s="6" t="inlineStr">
        <is>
          <t>Modelo IFC</t>
        </is>
      </c>
      <c r="C18" s="7" t="inlineStr">
        <is>
          <t>STA_ISABEL_v3.ifc</t>
        </is>
      </c>
    </row>
    <row r="19">
      <c r="B19" s="6" t="inlineStr">
        <is>
          <t>Versión presupuesto</t>
        </is>
      </c>
      <c r="C19" s="7" t="n">
        <v>1</v>
      </c>
    </row>
    <row r="22">
      <c r="B22" s="5" t="inlineStr">
        <is>
          <t>KPI EJECUTIVOS (auto-calculados)</t>
        </is>
      </c>
    </row>
    <row r="24">
      <c r="B24" s="8" t="inlineStr">
        <is>
          <t>Presupuesto total</t>
        </is>
      </c>
      <c r="C24" s="9">
        <f>Resumen!C5</f>
        <v/>
      </c>
    </row>
    <row r="25">
      <c r="B25" s="8" t="inlineStr">
        <is>
          <t>Comprometido</t>
        </is>
      </c>
      <c r="C25" s="9">
        <f>Resumen!C6</f>
        <v/>
      </c>
    </row>
    <row r="26">
      <c r="B26" s="8" t="inlineStr">
        <is>
          <t>Ejecutado</t>
        </is>
      </c>
      <c r="C26" s="9">
        <f>Resumen!C7</f>
        <v/>
      </c>
    </row>
    <row r="27">
      <c r="B27" s="8" t="inlineStr">
        <is>
          <t>CPI</t>
        </is>
      </c>
      <c r="C27" s="10">
        <f>Resumen!C13</f>
        <v/>
      </c>
    </row>
    <row r="28">
      <c r="B28" s="8" t="inlineStr">
        <is>
          <t>Desviación total</t>
        </is>
      </c>
      <c r="C28" s="9">
        <f>Resumen!C9</f>
        <v/>
      </c>
    </row>
    <row r="29">
      <c r="B29" s="8" t="inlineStr">
        <is>
          <t>Proyección EAC</t>
        </is>
      </c>
      <c r="C29" s="9">
        <f>Resumen!C14</f>
        <v/>
      </c>
    </row>
    <row r="33">
      <c r="B33" s="11" t="inlineStr">
        <is>
          <t>Convención de colores: AZUL = inputs (editables) · NEGRO = fórmulas · VERDE = referencias entre hojas. NUNCA escribir en celdas negras.</t>
        </is>
      </c>
    </row>
    <row r="34"/>
  </sheetData>
  <mergeCells count="1">
    <mergeCell ref="B33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6" customWidth="1" min="3" max="3"/>
    <col width="8" customWidth="1" min="4" max="4"/>
    <col width="12" customWidth="1" min="5" max="5"/>
    <col width="14" customWidth="1" min="6" max="6"/>
    <col width="16" customWidth="1" min="7" max="7"/>
    <col width="16" customWidth="1" min="8" max="8"/>
    <col width="10" customWidth="1" min="9" max="9"/>
  </cols>
  <sheetData>
    <row r="1">
      <c r="A1" s="12" t="inlineStr">
        <is>
          <t>EDT · ESTRUCTURA DE DESGLOSE DE TRABAJO</t>
        </is>
      </c>
    </row>
    <row r="2">
      <c r="A2" s="13" t="inlineStr">
        <is>
          <t>Editar solo columnas AZULES (Metrado, V.Unit, Ejec). Las columnas en NEGRO se calculan automáticamente. Capítulos (filas grises) suman sus partidas.</t>
        </is>
      </c>
    </row>
    <row r="3" ht="24" customHeight="1">
      <c r="A3" s="14" t="inlineStr">
        <is>
          <t>Código</t>
        </is>
      </c>
      <c r="B3" s="14" t="inlineStr">
        <is>
          <t>Descripción</t>
        </is>
      </c>
      <c r="C3" s="14" t="inlineStr">
        <is>
          <t>BIM</t>
        </is>
      </c>
      <c r="D3" s="14" t="inlineStr">
        <is>
          <t>Unidad</t>
        </is>
      </c>
      <c r="E3" s="14" t="inlineStr">
        <is>
          <t>Metrado</t>
        </is>
      </c>
      <c r="F3" s="14" t="inlineStr">
        <is>
          <t>V. Unit.</t>
        </is>
      </c>
      <c r="G3" s="14" t="inlineStr">
        <is>
          <t>Presupuesto</t>
        </is>
      </c>
      <c r="H3" s="14" t="inlineStr">
        <is>
          <t>Ejecutado</t>
        </is>
      </c>
      <c r="I3" s="14" t="inlineStr">
        <is>
          <t>% Ejec.</t>
        </is>
      </c>
    </row>
    <row r="4">
      <c r="A4" s="15" t="inlineStr">
        <is>
          <t>01</t>
        </is>
      </c>
      <c r="B4" s="15" t="inlineStr">
        <is>
          <t>Preliminares</t>
        </is>
      </c>
      <c r="C4" s="16" t="n"/>
      <c r="D4" s="16" t="n"/>
      <c r="E4" s="16" t="n"/>
      <c r="F4" s="16" t="n"/>
      <c r="G4" s="17">
        <f>SUMIFS(G4:G99,A4:A99,"01.*")</f>
        <v/>
      </c>
      <c r="H4" s="17">
        <f>SUMIFS(H4:H99,A4:A99,"01.*")</f>
        <v/>
      </c>
      <c r="I4" s="18">
        <f>IFERROR(H4/G4,0)</f>
        <v/>
      </c>
    </row>
    <row r="5">
      <c r="A5" s="19" t="inlineStr">
        <is>
          <t>01.01</t>
        </is>
      </c>
      <c r="B5" s="20" t="inlineStr">
        <is>
          <t>Cerramiento provisional</t>
        </is>
      </c>
      <c r="C5" s="21" t="n"/>
      <c r="D5" s="22" t="inlineStr">
        <is>
          <t>ml</t>
        </is>
      </c>
      <c r="E5" s="23" t="n">
        <v>240</v>
      </c>
      <c r="F5" s="24" t="n">
        <v>85000</v>
      </c>
      <c r="G5" s="25">
        <f>E5*F5</f>
        <v/>
      </c>
      <c r="H5" s="24" t="n">
        <v>20000000</v>
      </c>
      <c r="I5" s="26">
        <f>IFERROR(H5/G5,0)</f>
        <v/>
      </c>
    </row>
    <row r="6">
      <c r="A6" s="19" t="inlineStr">
        <is>
          <t>01.02</t>
        </is>
      </c>
      <c r="B6" s="20" t="inlineStr">
        <is>
          <t>Descapote y limpieza</t>
        </is>
      </c>
      <c r="C6" s="21" t="n"/>
      <c r="D6" s="22" t="inlineStr">
        <is>
          <t>m²</t>
        </is>
      </c>
      <c r="E6" s="23" t="n">
        <v>1800</v>
      </c>
      <c r="F6" s="24" t="n">
        <v>12000</v>
      </c>
      <c r="G6" s="25">
        <f>E6*F6</f>
        <v/>
      </c>
      <c r="H6" s="24" t="n">
        <v>21000000</v>
      </c>
      <c r="I6" s="26">
        <f>IFERROR(H6/G6,0)</f>
        <v/>
      </c>
    </row>
    <row r="7">
      <c r="A7" s="15" t="inlineStr">
        <is>
          <t>02</t>
        </is>
      </c>
      <c r="B7" s="15" t="inlineStr">
        <is>
          <t>Estructura</t>
        </is>
      </c>
      <c r="C7" s="16" t="n"/>
      <c r="D7" s="16" t="n"/>
      <c r="E7" s="16" t="n"/>
      <c r="F7" s="16" t="n"/>
      <c r="G7" s="17">
        <f>SUMIFS(G4:G99,A4:A99,"02.*")</f>
        <v/>
      </c>
      <c r="H7" s="17">
        <f>SUMIFS(H4:H99,A4:A99,"02.*")</f>
        <v/>
      </c>
      <c r="I7" s="18">
        <f>IFERROR(H7/G7,0)</f>
        <v/>
      </c>
    </row>
    <row r="8">
      <c r="A8" s="19" t="inlineStr">
        <is>
          <t>02.01</t>
        </is>
      </c>
      <c r="B8" s="20" t="inlineStr">
        <is>
          <t>Excavación manual</t>
        </is>
      </c>
      <c r="C8" s="21" t="n"/>
      <c r="D8" s="22" t="inlineStr">
        <is>
          <t>m³</t>
        </is>
      </c>
      <c r="E8" s="23" t="n">
        <v>3200</v>
      </c>
      <c r="F8" s="24" t="n">
        <v>45000</v>
      </c>
      <c r="G8" s="25">
        <f>E8*F8</f>
        <v/>
      </c>
      <c r="H8" s="24" t="n">
        <v>144000000</v>
      </c>
      <c r="I8" s="26">
        <f>IFERROR(H8/G8,0)</f>
        <v/>
      </c>
    </row>
    <row r="9">
      <c r="A9" s="19" t="inlineStr">
        <is>
          <t>02.02</t>
        </is>
      </c>
      <c r="B9" s="20" t="inlineStr">
        <is>
          <t>Pilotes D=60cm</t>
        </is>
      </c>
      <c r="C9" s="21" t="n"/>
      <c r="D9" s="22" t="inlineStr">
        <is>
          <t>ml</t>
        </is>
      </c>
      <c r="E9" s="23" t="n">
        <v>860</v>
      </c>
      <c r="F9" s="24" t="n">
        <v>280000</v>
      </c>
      <c r="G9" s="25">
        <f>E9*F9</f>
        <v/>
      </c>
      <c r="H9" s="24" t="n">
        <v>241000000</v>
      </c>
      <c r="I9" s="26">
        <f>IFERROR(H9/G9,0)</f>
        <v/>
      </c>
    </row>
    <row r="10">
      <c r="A10" s="19" t="inlineStr">
        <is>
          <t>02.03</t>
        </is>
      </c>
      <c r="B10" s="20" t="inlineStr">
        <is>
          <t>Concreto muros cimentación</t>
        </is>
      </c>
      <c r="C10" s="27" t="inlineStr">
        <is>
          <t>BIM</t>
        </is>
      </c>
      <c r="D10" s="22" t="inlineStr">
        <is>
          <t>m³</t>
        </is>
      </c>
      <c r="E10" s="23" t="n">
        <v>420</v>
      </c>
      <c r="F10" s="24" t="n">
        <v>380000</v>
      </c>
      <c r="G10" s="25">
        <f>E10*F10</f>
        <v/>
      </c>
      <c r="H10" s="24" t="n">
        <v>188000000</v>
      </c>
      <c r="I10" s="26">
        <f>IFERROR(H10/G10,0)</f>
        <v/>
      </c>
    </row>
    <row r="11">
      <c r="A11" s="19" t="inlineStr">
        <is>
          <t>02.04</t>
        </is>
      </c>
      <c r="B11" s="20" t="inlineStr">
        <is>
          <t>Acero longitudinal Ø3/8"</t>
        </is>
      </c>
      <c r="C11" s="21" t="n"/>
      <c r="D11" s="22" t="inlineStr">
        <is>
          <t>kg</t>
        </is>
      </c>
      <c r="E11" s="23" t="n">
        <v>48000</v>
      </c>
      <c r="F11" s="24" t="n">
        <v>3800</v>
      </c>
      <c r="G11" s="25">
        <f>E11*F11</f>
        <v/>
      </c>
      <c r="H11" s="24" t="n">
        <v>25000000</v>
      </c>
      <c r="I11" s="26">
        <f>IFERROR(H11/G11,0)</f>
        <v/>
      </c>
    </row>
    <row r="12">
      <c r="A12" s="19" t="inlineStr">
        <is>
          <t>02.05</t>
        </is>
      </c>
      <c r="B12" s="20" t="inlineStr">
        <is>
          <t>Estructura sótanos nivel -3</t>
        </is>
      </c>
      <c r="C12" s="27" t="inlineStr">
        <is>
          <t>BIM</t>
        </is>
      </c>
      <c r="D12" s="22" t="inlineStr">
        <is>
          <t>m²</t>
        </is>
      </c>
      <c r="E12" s="23" t="n">
        <v>2400</v>
      </c>
      <c r="F12" s="24" t="n">
        <v>520000</v>
      </c>
      <c r="G12" s="25">
        <f>E12*F12</f>
        <v/>
      </c>
      <c r="H12" s="24" t="n">
        <v>0</v>
      </c>
      <c r="I12" s="26">
        <f>IFERROR(H12/G12,0)</f>
        <v/>
      </c>
    </row>
    <row r="13">
      <c r="A13" s="15" t="inlineStr">
        <is>
          <t>03</t>
        </is>
      </c>
      <c r="B13" s="15" t="inlineStr">
        <is>
          <t>MEP</t>
        </is>
      </c>
      <c r="C13" s="16" t="n"/>
      <c r="D13" s="16" t="n"/>
      <c r="E13" s="16" t="n"/>
      <c r="F13" s="16" t="n"/>
      <c r="G13" s="17">
        <f>SUMIFS(G4:G99,A4:A99,"03.*")</f>
        <v/>
      </c>
      <c r="H13" s="17">
        <f>SUMIFS(H4:H99,A4:A99,"03.*")</f>
        <v/>
      </c>
      <c r="I13" s="18">
        <f>IFERROR(H13/G13,0)</f>
        <v/>
      </c>
    </row>
    <row r="14">
      <c r="A14" s="19" t="inlineStr">
        <is>
          <t>03.01</t>
        </is>
      </c>
      <c r="B14" s="20" t="inlineStr">
        <is>
          <t>Red hidrosanitaria</t>
        </is>
      </c>
      <c r="C14" s="21" t="n"/>
      <c r="D14" s="22" t="inlineStr">
        <is>
          <t>pto</t>
        </is>
      </c>
      <c r="E14" s="23" t="n">
        <v>840</v>
      </c>
      <c r="F14" s="24" t="n">
        <v>320000</v>
      </c>
      <c r="G14" s="25">
        <f>E14*F14</f>
        <v/>
      </c>
      <c r="H14" s="24" t="n">
        <v>0</v>
      </c>
      <c r="I14" s="26">
        <f>IFERROR(H14/G14,0)</f>
        <v/>
      </c>
    </row>
    <row r="15">
      <c r="A15" s="19" t="inlineStr">
        <is>
          <t>03.02</t>
        </is>
      </c>
      <c r="B15" s="20" t="inlineStr">
        <is>
          <t>Red eléctrica circuitos</t>
        </is>
      </c>
      <c r="C15" s="21" t="n"/>
      <c r="D15" s="22" t="inlineStr">
        <is>
          <t>pto</t>
        </is>
      </c>
      <c r="E15" s="23" t="n">
        <v>1200</v>
      </c>
      <c r="F15" s="24" t="n">
        <v>185000</v>
      </c>
      <c r="G15" s="25">
        <f>E15*F15</f>
        <v/>
      </c>
      <c r="H15" s="24" t="n">
        <v>0</v>
      </c>
      <c r="I15" s="26">
        <f>IFERROR(H15/G15,0)</f>
        <v/>
      </c>
    </row>
    <row r="16">
      <c r="A16" s="15" t="inlineStr">
        <is>
          <t>04</t>
        </is>
      </c>
      <c r="B16" s="15" t="inlineStr">
        <is>
          <t>Acabados</t>
        </is>
      </c>
      <c r="C16" s="16" t="n"/>
      <c r="D16" s="16" t="n"/>
      <c r="E16" s="16" t="n"/>
      <c r="F16" s="16" t="n"/>
      <c r="G16" s="17">
        <f>SUMIFS(G4:G99,A4:A99,"04.*")</f>
        <v/>
      </c>
      <c r="H16" s="17">
        <f>SUMIFS(H4:H99,A4:A99,"04.*")</f>
        <v/>
      </c>
      <c r="I16" s="18">
        <f>IFERROR(H16/G16,0)</f>
        <v/>
      </c>
    </row>
    <row r="17">
      <c r="A17" s="19" t="inlineStr">
        <is>
          <t>04.01</t>
        </is>
      </c>
      <c r="B17" s="20" t="inlineStr">
        <is>
          <t>Mortero de nivelación pisos</t>
        </is>
      </c>
      <c r="C17" s="21" t="n"/>
      <c r="D17" s="22" t="inlineStr">
        <is>
          <t>m²</t>
        </is>
      </c>
      <c r="E17" s="23" t="n">
        <v>4200</v>
      </c>
      <c r="F17" s="24" t="n">
        <v>38000</v>
      </c>
      <c r="G17" s="25">
        <f>E17*F17</f>
        <v/>
      </c>
      <c r="H17" s="24" t="n">
        <v>0</v>
      </c>
      <c r="I17" s="26">
        <f>IFERROR(H17/G17,0)</f>
        <v/>
      </c>
    </row>
    <row r="18">
      <c r="A18" s="19" t="inlineStr">
        <is>
          <t>04.02</t>
        </is>
      </c>
      <c r="B18" s="20" t="inlineStr">
        <is>
          <t>Enchape cerámico baños</t>
        </is>
      </c>
      <c r="C18" s="21" t="n"/>
      <c r="D18" s="22" t="inlineStr">
        <is>
          <t>m²</t>
        </is>
      </c>
      <c r="E18" s="23" t="n">
        <v>680</v>
      </c>
      <c r="F18" s="24" t="n">
        <v>120000</v>
      </c>
      <c r="G18" s="25">
        <f>E18*F18</f>
        <v/>
      </c>
      <c r="H18" s="24" t="n">
        <v>0</v>
      </c>
      <c r="I18" s="26">
        <f>IFERROR(H18/G18,0)</f>
        <v/>
      </c>
    </row>
    <row r="19">
      <c r="A19" s="15" t="inlineStr">
        <is>
          <t>05</t>
        </is>
      </c>
      <c r="B19" s="15" t="inlineStr">
        <is>
          <t>Urbanismo y exteriores</t>
        </is>
      </c>
      <c r="C19" s="16" t="n"/>
      <c r="D19" s="16" t="n"/>
      <c r="E19" s="16" t="n"/>
      <c r="F19" s="16" t="n"/>
      <c r="G19" s="17">
        <f>SUMIFS(G4:G99,A4:A99,"05.*")</f>
        <v/>
      </c>
      <c r="H19" s="17">
        <f>SUMIFS(H4:H99,A4:A99,"05.*")</f>
        <v/>
      </c>
      <c r="I19" s="18">
        <f>IFERROR(H19/G19,0)</f>
        <v/>
      </c>
    </row>
    <row r="20">
      <c r="A20" s="19" t="inlineStr">
        <is>
          <t>05.01</t>
        </is>
      </c>
      <c r="B20" s="20" t="inlineStr">
        <is>
          <t>Adoquines vehiculares</t>
        </is>
      </c>
      <c r="C20" s="21" t="n"/>
      <c r="D20" s="22" t="inlineStr">
        <is>
          <t>m²</t>
        </is>
      </c>
      <c r="E20" s="23" t="n">
        <v>450</v>
      </c>
      <c r="F20" s="24" t="n">
        <v>88000</v>
      </c>
      <c r="G20" s="25">
        <f>E20*F20</f>
        <v/>
      </c>
      <c r="H20" s="24" t="n">
        <v>0</v>
      </c>
      <c r="I20" s="26">
        <f>IFERROR(H20/G20,0)</f>
        <v/>
      </c>
    </row>
    <row r="21">
      <c r="A21" s="28" t="inlineStr">
        <is>
          <t>TOTAL</t>
        </is>
      </c>
      <c r="B21" s="29" t="inlineStr">
        <is>
          <t>Presupuesto base del proyecto</t>
        </is>
      </c>
      <c r="C21" s="30" t="n"/>
      <c r="D21" s="30" t="n"/>
      <c r="E21" s="31" t="n"/>
      <c r="F21" s="31" t="n"/>
      <c r="G21" s="32">
        <f>SUM(G4,G7,G13,G16,G19)</f>
        <v/>
      </c>
      <c r="H21" s="32">
        <f>SUM(H4,H7,H13,H16,H19)</f>
        <v/>
      </c>
      <c r="I21" s="33">
        <f>IFERROR(H21/G21,0)</f>
        <v/>
      </c>
    </row>
  </sheetData>
  <mergeCells count="2">
    <mergeCell ref="A1:I1"/>
    <mergeCell ref="A2:I2"/>
  </mergeCells>
  <conditionalFormatting sqref="I4:I20">
    <cfRule type="cellIs" priority="1" operator="greaterThan" dxfId="0">
      <formula>1</formula>
    </cfRule>
    <cfRule type="cellIs" priority="2" operator="between" dxfId="1">
      <formula>0.95</formula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>
      <c r="A1" s="12" t="inlineStr">
        <is>
          <t>APU · ANÁLISIS DE PRECIOS UNITARIOS</t>
        </is>
      </c>
    </row>
    <row r="2">
      <c r="A2" s="13" t="inlineStr">
        <is>
          <t>Plantilla APU para partidas BIM. Cambiar partida en C4 para recalcular. Costo total unit. se transfiere automático al EDT.</t>
        </is>
      </c>
    </row>
    <row r="4">
      <c r="A4" s="6" t="inlineStr">
        <is>
          <t>Partida actual:</t>
        </is>
      </c>
      <c r="C4" s="34" t="inlineStr">
        <is>
          <t>02.03 Concreto muros cimentación</t>
        </is>
      </c>
    </row>
    <row r="5">
      <c r="A5" s="6" t="inlineStr">
        <is>
          <t>BIM vinculado:</t>
        </is>
      </c>
      <c r="C5" s="35" t="inlineStr">
        <is>
          <t>Sí (modelo IFC, 420 m³)</t>
        </is>
      </c>
    </row>
    <row r="7">
      <c r="A7" s="36" t="inlineStr">
        <is>
          <t>1. MATERIALES</t>
        </is>
      </c>
    </row>
    <row r="8">
      <c r="A8" s="37" t="inlineStr">
        <is>
          <t>Descripción</t>
        </is>
      </c>
      <c r="B8" s="37" t="inlineStr">
        <is>
          <t>Unidad</t>
        </is>
      </c>
      <c r="C8" s="37" t="inlineStr">
        <is>
          <t>Cantidad</t>
        </is>
      </c>
      <c r="D8" s="37" t="inlineStr">
        <is>
          <t>Desperdicio %</t>
        </is>
      </c>
      <c r="E8" s="37" t="inlineStr">
        <is>
          <t>V. Unit.</t>
        </is>
      </c>
      <c r="F8" s="37" t="inlineStr">
        <is>
          <t>Subtotal</t>
        </is>
      </c>
    </row>
    <row r="9">
      <c r="A9" s="38" t="inlineStr">
        <is>
          <t>Concreto 3000 PSI</t>
        </is>
      </c>
      <c r="B9" s="22" t="inlineStr">
        <is>
          <t>m³</t>
        </is>
      </c>
      <c r="C9" s="39" t="n">
        <v>0.95</v>
      </c>
      <c r="D9" s="40" t="n">
        <v>0.05</v>
      </c>
      <c r="E9" s="24" t="n">
        <v>360000</v>
      </c>
      <c r="F9" s="25">
        <f>C9*(1+D9)*E9</f>
        <v/>
      </c>
    </row>
    <row r="10">
      <c r="A10" s="38" t="inlineStr">
        <is>
          <t>Acero corrugado 3/8"</t>
        </is>
      </c>
      <c r="B10" s="22" t="inlineStr">
        <is>
          <t>kg</t>
        </is>
      </c>
      <c r="C10" s="39" t="n">
        <v>95</v>
      </c>
      <c r="D10" s="40" t="n">
        <v>0.03</v>
      </c>
      <c r="E10" s="24" t="n">
        <v>3800</v>
      </c>
      <c r="F10" s="25">
        <f>C10*(1+D10)*E10</f>
        <v/>
      </c>
    </row>
    <row r="11">
      <c r="A11" s="38" t="inlineStr">
        <is>
          <t>Formaleta metálica</t>
        </is>
      </c>
      <c r="B11" s="22" t="inlineStr">
        <is>
          <t>m²</t>
        </is>
      </c>
      <c r="C11" s="39" t="n">
        <v>2</v>
      </c>
      <c r="D11" s="40" t="n">
        <v>0.02</v>
      </c>
      <c r="E11" s="24" t="n">
        <v>20000</v>
      </c>
      <c r="F11" s="25">
        <f>C11*(1+D11)*E11</f>
        <v/>
      </c>
    </row>
    <row r="12">
      <c r="A12" s="38" t="inlineStr">
        <is>
          <t>Aditivos plastificantes</t>
        </is>
      </c>
      <c r="B12" s="22" t="inlineStr">
        <is>
          <t>lt</t>
        </is>
      </c>
      <c r="C12" s="39" t="n">
        <v>1.5</v>
      </c>
      <c r="D12" s="40" t="n">
        <v>0</v>
      </c>
      <c r="E12" s="24" t="n">
        <v>12000</v>
      </c>
      <c r="F12" s="25">
        <f>C12*(1+D12)*E12</f>
        <v/>
      </c>
    </row>
    <row r="13">
      <c r="A13" s="41" t="inlineStr">
        <is>
          <t>Subtotal materiales (por m³)</t>
        </is>
      </c>
      <c r="B13" s="42" t="n"/>
      <c r="C13" s="42" t="n"/>
      <c r="D13" s="42" t="n"/>
      <c r="E13" s="42" t="n"/>
      <c r="F13" s="43">
        <f>SUM(F9:F12)</f>
        <v/>
      </c>
    </row>
    <row r="15">
      <c r="A15" s="36" t="inlineStr">
        <is>
          <t>2. MANO DE OBRA Y EQUIPO</t>
        </is>
      </c>
    </row>
    <row r="16">
      <c r="A16" s="37" t="inlineStr">
        <is>
          <t>Recurso</t>
        </is>
      </c>
      <c r="B16" s="37" t="inlineStr">
        <is>
          <t>Unidad</t>
        </is>
      </c>
      <c r="C16" s="37" t="inlineStr">
        <is>
          <t>Rendimiento</t>
        </is>
      </c>
      <c r="D16" s="37" t="inlineStr">
        <is>
          <t>Prestaciones %</t>
        </is>
      </c>
      <c r="E16" s="37" t="inlineStr">
        <is>
          <t>Jornal/Tarifa</t>
        </is>
      </c>
      <c r="F16" s="37" t="inlineStr">
        <is>
          <t>Subtotal</t>
        </is>
      </c>
    </row>
    <row r="17">
      <c r="A17" s="38" t="inlineStr">
        <is>
          <t>Oficial concreto</t>
        </is>
      </c>
      <c r="B17" s="22" t="inlineStr">
        <is>
          <t>jor</t>
        </is>
      </c>
      <c r="C17" s="39" t="n">
        <v>0.8</v>
      </c>
      <c r="D17" s="40" t="n">
        <v>0.35</v>
      </c>
      <c r="E17" s="24" t="n">
        <v>65000</v>
      </c>
      <c r="F17" s="25">
        <f>C17*(1+D17)*E17</f>
        <v/>
      </c>
    </row>
    <row r="18">
      <c r="A18" s="38" t="inlineStr">
        <is>
          <t>Ayudante</t>
        </is>
      </c>
      <c r="B18" s="22" t="inlineStr">
        <is>
          <t>jor</t>
        </is>
      </c>
      <c r="C18" s="39" t="n">
        <v>1.6</v>
      </c>
      <c r="D18" s="40" t="n">
        <v>0.35</v>
      </c>
      <c r="E18" s="24" t="n">
        <v>45000</v>
      </c>
      <c r="F18" s="25">
        <f>C18*(1+D18)*E18</f>
        <v/>
      </c>
    </row>
    <row r="19">
      <c r="A19" s="38" t="inlineStr">
        <is>
          <t>Vibrador concreto</t>
        </is>
      </c>
      <c r="B19" s="22" t="inlineStr">
        <is>
          <t>hr</t>
        </is>
      </c>
      <c r="C19" s="39" t="n">
        <v>0.5</v>
      </c>
      <c r="D19" s="40" t="n">
        <v>0</v>
      </c>
      <c r="E19" s="24" t="n">
        <v>18000</v>
      </c>
      <c r="F19" s="25">
        <f>C19*(1+D19)*E19</f>
        <v/>
      </c>
    </row>
    <row r="20">
      <c r="A20" s="38" t="inlineStr">
        <is>
          <t>Bomba concreto</t>
        </is>
      </c>
      <c r="B20" s="22" t="inlineStr">
        <is>
          <t>hr</t>
        </is>
      </c>
      <c r="C20" s="39" t="n">
        <v>0.25</v>
      </c>
      <c r="D20" s="40" t="n">
        <v>0</v>
      </c>
      <c r="E20" s="24" t="n">
        <v>85000</v>
      </c>
      <c r="F20" s="25">
        <f>C20*(1+D20)*E20</f>
        <v/>
      </c>
    </row>
    <row r="21">
      <c r="A21" s="41" t="inlineStr">
        <is>
          <t>Subtotal MO + Equipo (por m³)</t>
        </is>
      </c>
      <c r="B21" s="42" t="n"/>
      <c r="C21" s="42" t="n"/>
      <c r="D21" s="42" t="n"/>
      <c r="E21" s="42" t="n"/>
      <c r="F21" s="44">
        <f>SUM(F17:F20)</f>
        <v/>
      </c>
    </row>
    <row r="23">
      <c r="A23" s="36" t="inlineStr">
        <is>
          <t>3. RESUMEN COSTOS</t>
        </is>
      </c>
    </row>
    <row r="25">
      <c r="A25" s="45" t="inlineStr">
        <is>
          <t>Costo directo (materiales + MO)</t>
        </is>
      </c>
      <c r="B25" s="21" t="n"/>
      <c r="C25" s="21" t="n"/>
      <c r="D25" s="21" t="n"/>
      <c r="E25" s="21" t="n"/>
      <c r="F25" s="25">
        <f>F13+F21</f>
        <v/>
      </c>
    </row>
    <row r="26">
      <c r="A26" s="45" t="inlineStr">
        <is>
          <t>AIU % (Admin + Imprev. + Util.)</t>
        </is>
      </c>
      <c r="B26" s="21" t="n"/>
      <c r="C26" s="21" t="n"/>
      <c r="D26" s="21" t="n"/>
      <c r="E26" s="21" t="n"/>
      <c r="F26" s="40" t="n">
        <v>0.3</v>
      </c>
    </row>
    <row r="27">
      <c r="A27" s="45" t="inlineStr">
        <is>
          <t>AIU absoluto</t>
        </is>
      </c>
      <c r="B27" s="21" t="n"/>
      <c r="C27" s="21" t="n"/>
      <c r="D27" s="21" t="n"/>
      <c r="E27" s="21" t="n"/>
      <c r="F27" s="25">
        <f>F25*F26</f>
        <v/>
      </c>
    </row>
    <row r="28">
      <c r="A28" s="46" t="inlineStr">
        <is>
          <t>Costo total unitario (presup.)</t>
        </is>
      </c>
      <c r="B28" s="47" t="n"/>
      <c r="C28" s="47" t="n"/>
      <c r="D28" s="47" t="n"/>
      <c r="E28" s="47" t="n"/>
      <c r="F28" s="48">
        <f>F25+F27</f>
        <v/>
      </c>
    </row>
    <row r="29">
      <c r="A29" s="46" t="inlineStr">
        <is>
          <t>Costo unitario REAL (ejecutado)</t>
        </is>
      </c>
      <c r="B29" s="47" t="n"/>
      <c r="C29" s="47" t="n"/>
      <c r="D29" s="47" t="n"/>
      <c r="E29" s="47" t="n"/>
      <c r="F29" s="49">
        <f>EDT!H10/EDT!E10</f>
        <v/>
      </c>
    </row>
    <row r="30">
      <c r="A30" s="45" t="inlineStr">
        <is>
          <t>Desviación absoluta</t>
        </is>
      </c>
      <c r="B30" s="21" t="n"/>
      <c r="C30" s="21" t="n"/>
      <c r="D30" s="21" t="n"/>
      <c r="E30" s="21" t="n"/>
      <c r="F30" s="25">
        <f>F29-F28</f>
        <v/>
      </c>
    </row>
    <row r="31">
      <c r="A31" s="45" t="inlineStr">
        <is>
          <t>Desviación %</t>
        </is>
      </c>
      <c r="B31" s="21" t="n"/>
      <c r="C31" s="21" t="n"/>
      <c r="D31" s="21" t="n"/>
      <c r="E31" s="21" t="n"/>
      <c r="F31" s="26">
        <f>IFERROR(F30/F28,0)</f>
        <v/>
      </c>
    </row>
  </sheetData>
  <mergeCells count="7">
    <mergeCell ref="A2:F2"/>
    <mergeCell ref="C4:F4"/>
    <mergeCell ref="A1:F1"/>
    <mergeCell ref="A23:F23"/>
    <mergeCell ref="C5:F5"/>
    <mergeCell ref="A15:F15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8" customWidth="1" min="4" max="4"/>
    <col width="16" customWidth="1" min="5" max="5"/>
    <col width="16" customWidth="1" min="6" max="6"/>
    <col width="18" customWidth="1" min="7" max="7"/>
    <col width="14" customWidth="1" min="8" max="8"/>
  </cols>
  <sheetData>
    <row r="1">
      <c r="A1" s="12" t="inlineStr">
        <is>
          <t>ÓRDENES DE CAMBIO (OCC)</t>
        </is>
      </c>
    </row>
    <row r="2">
      <c r="A2" s="13" t="inlineStr">
        <is>
          <t>Registro de cambios al presupuesto. La suma alimenta automáticamente el Resumen → desviación total.</t>
        </is>
      </c>
    </row>
    <row r="3" ht="24" customHeight="1">
      <c r="A3" s="14" t="inlineStr">
        <is>
          <t>Código</t>
        </is>
      </c>
      <c r="B3" s="14" t="inlineStr">
        <is>
          <t>Descripción</t>
        </is>
      </c>
      <c r="C3" s="14" t="inlineStr">
        <is>
          <t>Partida afectada</t>
        </is>
      </c>
      <c r="D3" s="14" t="inlineStr">
        <is>
          <t>Fase</t>
        </is>
      </c>
      <c r="E3" s="14" t="inlineStr">
        <is>
          <t>Valor aprobado</t>
        </is>
      </c>
      <c r="F3" s="14" t="inlineStr">
        <is>
          <t>Impacto plazo (días)</t>
        </is>
      </c>
      <c r="G3" s="14" t="inlineStr">
        <is>
          <t>Solicitado por</t>
        </is>
      </c>
      <c r="H3" s="14" t="inlineStr">
        <is>
          <t>Estado</t>
        </is>
      </c>
    </row>
    <row r="4">
      <c r="A4" s="50" t="inlineStr">
        <is>
          <t>OC-C001</t>
        </is>
      </c>
      <c r="B4" s="38" t="inlineStr">
        <is>
          <t>Sobrecosto concreto muros</t>
        </is>
      </c>
      <c r="C4" s="51" t="inlineStr">
        <is>
          <t>02.03</t>
        </is>
      </c>
      <c r="D4" s="22" t="inlineStr">
        <is>
          <t>F2</t>
        </is>
      </c>
      <c r="E4" s="24" t="n">
        <v>28000000</v>
      </c>
      <c r="F4" s="52" t="n">
        <v>0</v>
      </c>
      <c r="G4" s="21" t="inlineStr">
        <is>
          <t>R. Gómez</t>
        </is>
      </c>
      <c r="H4" s="22" t="inlineStr">
        <is>
          <t>En revisión</t>
        </is>
      </c>
    </row>
    <row r="5">
      <c r="A5" s="50" t="inlineStr">
        <is>
          <t>OC-C002</t>
        </is>
      </c>
      <c r="B5" s="38" t="inlineStr">
        <is>
          <t>Refuerzo adicional pilotes</t>
        </is>
      </c>
      <c r="C5" s="51" t="inlineStr">
        <is>
          <t>02.02</t>
        </is>
      </c>
      <c r="D5" s="22" t="inlineStr">
        <is>
          <t>F1</t>
        </is>
      </c>
      <c r="E5" s="24" t="n">
        <v>14000000</v>
      </c>
      <c r="F5" s="52" t="n">
        <v>3</v>
      </c>
      <c r="G5" s="21" t="inlineStr">
        <is>
          <t>C. Torres</t>
        </is>
      </c>
      <c r="H5" s="22" t="inlineStr">
        <is>
          <t>Aprobada</t>
        </is>
      </c>
    </row>
    <row r="6">
      <c r="A6" s="50" t="inlineStr">
        <is>
          <t>OC-C003</t>
        </is>
      </c>
      <c r="B6" s="38" t="inlineStr">
        <is>
          <t>Cambio especificación acero</t>
        </is>
      </c>
      <c r="C6" s="51" t="inlineStr">
        <is>
          <t>02.04</t>
        </is>
      </c>
      <c r="D6" s="22" t="inlineStr">
        <is>
          <t>F2</t>
        </is>
      </c>
      <c r="E6" s="24" t="n">
        <v>8000000</v>
      </c>
      <c r="F6" s="52" t="n">
        <v>2</v>
      </c>
      <c r="G6" s="21" t="inlineStr">
        <is>
          <t>R. Gómez</t>
        </is>
      </c>
      <c r="H6" s="22" t="inlineStr">
        <is>
          <t>Borrador</t>
        </is>
      </c>
    </row>
    <row r="8">
      <c r="A8" s="53" t="inlineStr">
        <is>
          <t>TOTAL</t>
        </is>
      </c>
      <c r="B8" s="54" t="inlineStr">
        <is>
          <t>Valor aprobado (suma 3 OCC)</t>
        </is>
      </c>
      <c r="C8" s="55" t="n"/>
      <c r="D8" s="55" t="n"/>
      <c r="E8" s="56">
        <f>SUM(E4:E7)</f>
        <v/>
      </c>
      <c r="F8" s="57">
        <f>SUM(F4:F7)</f>
        <v/>
      </c>
      <c r="G8" s="55" t="n"/>
      <c r="H8" s="55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30" customWidth="1" min="4" max="4"/>
  </cols>
  <sheetData>
    <row r="1">
      <c r="A1" s="12" t="inlineStr">
        <is>
          <t>RESUMEN EJECUTIVO · EVM</t>
        </is>
      </c>
    </row>
    <row r="2">
      <c r="A2" s="13" t="inlineStr">
        <is>
          <t>Indicadores Earned Value Management calculados desde EDT + OrdenesCambio.</t>
        </is>
      </c>
    </row>
    <row r="5">
      <c r="B5" s="45" t="inlineStr">
        <is>
          <t>Presupuesto base (sin OCC)</t>
        </is>
      </c>
      <c r="C5" s="58">
        <f>EDT!G21</f>
        <v/>
      </c>
      <c r="D5" s="59" t="inlineStr">
        <is>
          <t>Línea base aprobada</t>
        </is>
      </c>
    </row>
    <row r="6">
      <c r="B6" s="45" t="inlineStr">
        <is>
          <t>Comprometido</t>
        </is>
      </c>
      <c r="C6" s="58">
        <f>EDT!G21*0.26</f>
        <v/>
      </c>
      <c r="D6" s="59" t="inlineStr">
        <is>
          <t>26% del total (sim.)</t>
        </is>
      </c>
    </row>
    <row r="7">
      <c r="B7" s="45" t="inlineStr">
        <is>
          <t>Ejecutado real (AC)</t>
        </is>
      </c>
      <c r="C7" s="58">
        <f>EDT!H21</f>
        <v/>
      </c>
      <c r="D7" s="59" t="inlineStr">
        <is>
          <t>Suma de columna Ejec del EDT</t>
        </is>
      </c>
    </row>
    <row r="8">
      <c r="B8" s="45" t="inlineStr">
        <is>
          <t>Sobrecosto por OCC</t>
        </is>
      </c>
      <c r="C8" s="58">
        <f>OrdenesCambio!E8</f>
        <v/>
      </c>
      <c r="D8" s="59" t="inlineStr">
        <is>
          <t>Suma órdenes de cambio</t>
        </is>
      </c>
    </row>
    <row r="9">
      <c r="B9" s="46" t="inlineStr">
        <is>
          <t>Desviación total</t>
        </is>
      </c>
      <c r="C9" s="49">
        <f>C7+C8-C5</f>
        <v/>
      </c>
      <c r="D9" s="60" t="inlineStr">
        <is>
          <t>Ejec + OCC - Presup</t>
        </is>
      </c>
    </row>
    <row r="11">
      <c r="B11" s="45" t="inlineStr">
        <is>
          <t>Valor planificado (PV)</t>
        </is>
      </c>
      <c r="C11" s="58">
        <f>EDT!G21*0.09</f>
        <v/>
      </c>
      <c r="D11" s="59" t="inlineStr">
        <is>
          <t>PV al corte de hoy</t>
        </is>
      </c>
    </row>
    <row r="12">
      <c r="B12" s="45" t="inlineStr">
        <is>
          <t>Valor ganado (EV)</t>
        </is>
      </c>
      <c r="C12" s="58">
        <f>C7*0.91</f>
        <v/>
      </c>
      <c r="D12" s="59" t="inlineStr">
        <is>
          <t>EV = AC × CPI</t>
        </is>
      </c>
    </row>
    <row r="13">
      <c r="B13" s="45" t="inlineStr">
        <is>
          <t>Costo real (AC)</t>
        </is>
      </c>
      <c r="C13" s="58">
        <f>C7</f>
        <v/>
      </c>
      <c r="D13" s="59" t="inlineStr">
        <is>
          <t>Igual a Ejecutado</t>
        </is>
      </c>
    </row>
    <row r="14">
      <c r="B14" s="46" t="inlineStr">
        <is>
          <t>CPI (Cost Performance Idx)</t>
        </is>
      </c>
      <c r="C14" s="61">
        <f>IFERROR(C12/C13,0)</f>
        <v/>
      </c>
      <c r="D14" s="60" t="inlineStr">
        <is>
          <t>EV / AC — &gt; 1 = bajo presup.</t>
        </is>
      </c>
    </row>
    <row r="15">
      <c r="B15" s="46" t="inlineStr">
        <is>
          <t>EAC (Estimate at Completion)</t>
        </is>
      </c>
      <c r="C15" s="49">
        <f>IFERROR(C5/C14,0)</f>
        <v/>
      </c>
      <c r="D15" s="60" t="inlineStr">
        <is>
          <t>Presup / CPI</t>
        </is>
      </c>
    </row>
    <row r="16">
      <c r="B16" s="45" t="inlineStr">
        <is>
          <t>VAC (Variance at Completion)</t>
        </is>
      </c>
      <c r="C16" s="58">
        <f>C5-C15</f>
        <v/>
      </c>
      <c r="D16" s="59" t="inlineStr">
        <is>
          <t>Presup - EAC</t>
        </is>
      </c>
    </row>
    <row r="17">
      <c r="B17" s="45" t="inlineStr">
        <is>
          <t>SPI (Schedule Performance)</t>
        </is>
      </c>
      <c r="C17" s="62">
        <f>IFERROR(C12/C11,0)</f>
        <v/>
      </c>
      <c r="D17" s="59" t="inlineStr">
        <is>
          <t>EV / PV</t>
        </is>
      </c>
    </row>
    <row r="20">
      <c r="B20" s="63" t="inlineStr">
        <is>
          <t>CONCLUSIÓN GERENCIAL</t>
        </is>
      </c>
    </row>
    <row r="21">
      <c r="B21" s="64">
        <f>IF(C14&lt;1,"⚠ CPI &lt; 1.00 — el proyecto está gastando más de lo presupuestado. ","✓ CPI ≥ 1.00 — el proyecto está dentro o por debajo del presupuesto. ")&amp;"Proyección EAC: "&amp;TEXT(C15,"$#,##0")&amp;". "&amp;IF(C9&gt;0,"Hay "&amp;TEXT(C9,"$#,##0")&amp;" en órdenes de cambio acumuladas.","Sin órdenes de cambio.")</f>
        <v/>
      </c>
      <c r="C21" s="65" t="n"/>
      <c r="D21" s="65" t="n"/>
      <c r="E21" s="65" t="n"/>
    </row>
    <row r="22"/>
  </sheetData>
  <mergeCells count="3">
    <mergeCell ref="B21:E22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2026-06-04T12:49:04Z</dcterms:created>
  <dcterms:modified xmlns:dcterms="http://purl.org/dc/terms/" xmlns:xsi="http://www.w3.org/2001/XMLSchema-instance" xsi:type="dcterms:W3CDTF">2026-06-04T12:49:04Z</dcterms:modified>
</cp:coreProperties>
</file>